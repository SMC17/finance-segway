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Cap Table &amp; Dilution" sheetId="6" state="visible" r:id="rId8"/>
    <sheet name="Rights Offering" sheetId="7" state="visible" r:id="rId9"/>
    <sheet name="Convertible Securities" sheetId="8" state="visible" r:id="rId10"/>
    <sheet name="Decision &amp; Checks" sheetId="9" state="visible" r:id="rId11"/>
    <sheet name="IS" sheetId="10" state="visible" r:id="rId12"/>
    <sheet name="BS" sheetId="11" state="visible" r:id="rId13"/>
    <sheet name="CF" sheetId="12" state="visible" r:id="rId14"/>
    <sheet name="DCF" sheetId="13" state="visible" r:id="rId15"/>
    <sheet name="Comps" sheetId="14" state="visible" r:id="rId16"/>
    <sheet name="Sensitivity" sheetId="15" state="visible" r:id="rId17"/>
    <sheet name="RefreshLog" sheetId="16" state="visible" r:id="rId18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<sst xmlns="http://schemas.openxmlformats.org/spreadsheetml/2006/main" count="481" uniqueCount="328">
  <si>
    <t xml:space="preserve">[ISSUER] — Equity Finance, Dilution, and Capital Structure</t>
  </si>
  <si>
    <t xml:space="preserve">Issuer / security:</t>
  </si>
  <si>
    <t xml:space="preserve">[fill in]</t>
  </si>
  <si>
    <t xml:space="preserve">Coverage started:</t>
  </si>
  <si>
    <t xml:space="preserve">[date]</t>
  </si>
  <si>
    <t xml:space="preserve">Last refreshed:</t>
  </si>
  <si>
    <t xml:space="preserve">2026-08-04</t>
  </si>
  <si>
    <t xml:space="preserve">Next financing / shareholder date:</t>
  </si>
  <si>
    <t xml:space="preserve">Refresh cadence:</t>
  </si>
  <si>
    <t xml:space="preserve">Weekly</t>
  </si>
  <si>
    <t xml:space="preserve">Thesis (2-3 sentences):</t>
  </si>
  <si>
    <t xml:space="preserve">COLOR LEGEND</t>
  </si>
  <si>
    <t xml:space="preserve">Blue text</t>
  </si>
  <si>
    <t xml:space="preserve">Hardcoded input / scenario lever — edit freely</t>
  </si>
  <si>
    <t xml:space="preserve">Black text</t>
  </si>
  <si>
    <t xml:space="preserve">Formula — do not overwrite</t>
  </si>
  <si>
    <t xml:space="preserve">Green text</t>
  </si>
  <si>
    <t xml:space="preserve">Link to another sheet in this workbook</t>
  </si>
  <si>
    <t xml:space="preserve">Yellow fill</t>
  </si>
  <si>
    <t xml:space="preserve">Key assumption — review every refresh</t>
  </si>
  <si>
    <t xml:space="preserve">Equity Finance — Institutional Decision Surface</t>
  </si>
  <si>
    <t xml:space="preserve">Model ID</t>
  </si>
  <si>
    <t xml:space="preserve">12</t>
  </si>
  <si>
    <t xml:space="preserve">Domain</t>
  </si>
  <si>
    <t xml:space="preserve">Equity Finance</t>
  </si>
  <si>
    <t xml:space="preserve">Declared maturity</t>
  </si>
  <si>
    <t xml:space="preserve">M2</t>
  </si>
  <si>
    <t xml:space="preserve">Canonical builder</t>
  </si>
  <si>
    <t xml:space="preserve">tools/builders/build_equity_finance_release.py</t>
  </si>
  <si>
    <t xml:space="preserve">Decision arena</t>
  </si>
  <si>
    <t xml:space="preserve">issuer board, ECM, shareholders, counsel and exchange</t>
  </si>
  <si>
    <t xml:space="preserve">Committee artifact</t>
  </si>
  <si>
    <t xml:space="preserve">capital raise and dilution memo</t>
  </si>
  <si>
    <t xml:space="preserve">Operating cadence</t>
  </si>
  <si>
    <t xml:space="preserve">daily during offering; quarterly cap table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</si>
  <si>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</si>
  <si>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</si>
  <si>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</si>
  <si>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</si>
  <si>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</si>
  <si>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</si>
  <si>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gross and net proceeds</t>
  </si>
  <si>
    <t xml:space="preserve">OPEN</t>
  </si>
  <si>
    <t xml:space="preserve">pro forma ownership and dilution</t>
  </si>
  <si>
    <t xml:space="preserve">rights take-up / backstop need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</si>
  <si>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</si>
  <si>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</si>
  <si>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</si>
  <si>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is the real free float after locks?</t>
  </si>
  <si>
    <t xml:space="preserve">Who is economically short through hedges?</t>
  </si>
  <si>
    <t xml:space="preserve">What is the break price after fees?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</si>
  <si>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</si>
  <si>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</si>
  <si>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</si>
  <si>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discount and market break</t>
  </si>
  <si>
    <t xml:space="preserve">rights under-subscription</t>
  </si>
  <si>
    <t xml:space="preserve">convertible dilution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</si>
  <si>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</si>
  <si>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</si>
  <si>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</si>
  <si>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registration statement / prospectus</t>
  </si>
  <si>
    <t xml:space="preserve">underwriting agreement</t>
  </si>
  <si>
    <t xml:space="preserve">shareholder register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</si>
  <si>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</si>
  <si>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</si>
  <si>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</si>
  <si>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proceeds reconcile</t>
  </si>
  <si>
    <t xml:space="preserve">ownership sums to 100%</t>
  </si>
  <si>
    <t xml:space="preserve">dilution includes options and convertibles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</si>
  <si>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</si>
  <si>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</si>
  <si>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</si>
  <si>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using basic shares for valuation</t>
  </si>
  <si>
    <t xml:space="preserve">ignoring greenshoe and warrants</t>
  </si>
  <si>
    <t xml:space="preserve">treating convertibles as debt or equity in all cases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</si>
  <si>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</si>
  <si>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</si>
  <si>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</si>
  <si>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</si>
  <si>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</si>
  <si>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</si>
  <si>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</si>
  <si>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</si>
  <si>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</si>
  <si>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</si>
  <si>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</si>
  <si>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</si>
  <si>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SEC Rule 2a-5</t>
  </si>
  <si>
    <t xml:space="preserve">fair-value governance and testing</t>
  </si>
  <si>
    <t xml:space="preserve">https://www.sec.gov/files/rules/final/2020/ic-34128.pdf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</si>
  <si>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</si>
  <si>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</si>
  <si>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</si>
  <si>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</si>
  <si>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</si>
  <si>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</si>
  <si>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</si>
  <si>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</si>
  <si>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</si>
  <si>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</si>
  <si>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</si>
  <si>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</si>
  <si>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</si>
  <si>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</si>
  <si>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</si>
  <si>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</si>
  <si>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share count</t>
  </si>
  <si>
    <t xml:space="preserve">event-driven</t>
  </si>
  <si>
    <t xml:space="preserve">basic, diluted and treasury-stock reconciliation</t>
  </si>
  <si>
    <t xml:space="preserve">TO MAP</t>
  </si>
  <si>
    <t xml:space="preserve">market price and volume</t>
  </si>
  <si>
    <t xml:space="preserve">daily</t>
  </si>
  <si>
    <t xml:space="preserve">unaffected and VWAP windows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</si>
  <si>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</si>
  <si>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</si>
  <si>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</si>
  <si>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</si>
  <si>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</si>
  <si>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</si>
  <si>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Assumptions</t>
  </si>
  <si>
    <t xml:space="preserve">Driver</t>
  </si>
  <si>
    <t xml:space="preserve">FY1</t>
  </si>
  <si>
    <t xml:space="preserve">FY2</t>
  </si>
  <si>
    <t xml:space="preserve">FY3</t>
  </si>
  <si>
    <t xml:space="preserve">FY4</t>
  </si>
  <si>
    <t xml:space="preserve">FY5</t>
  </si>
  <si>
    <t xml:space="preserve">Source / notes</t>
  </si>
  <si>
    <t xml:space="preserve">Revenue growth %</t>
  </si>
  <si>
    <t xml:space="preserve">Source: [10-K/10-Q cite or user estimate]</t>
  </si>
  <si>
    <t xml:space="preserve">Gross margin %</t>
  </si>
  <si>
    <t xml:space="preserve">Opex % of revenue</t>
  </si>
  <si>
    <t xml:space="preserve">Tax rate %</t>
  </si>
  <si>
    <t xml:space="preserve">D&amp;A % of capex</t>
  </si>
  <si>
    <t xml:space="preserve">Capex % of revenue</t>
  </si>
  <si>
    <t xml:space="preserve">NWC % of revenue chg</t>
  </si>
  <si>
    <t xml:space="preserve">Shares outstanding (mm)</t>
  </si>
  <si>
    <t xml:space="preserve">WACC %</t>
  </si>
  <si>
    <t xml:space="preserve">Terminal growth %</t>
  </si>
  <si>
    <t xml:space="preserve">Fully Diluted Cap Table and Ownership Attribution</t>
  </si>
  <si>
    <t xml:space="preserve">Active scenario</t>
  </si>
  <si>
    <t xml:space="preserve">Adversarial</t>
  </si>
  <si>
    <t xml:space="preserve">Metric</t>
  </si>
  <si>
    <t xml:space="preserve">Base</t>
  </si>
  <si>
    <t xml:space="preserve">Active</t>
  </si>
  <si>
    <t xml:space="preserve">Owner / interpretation</t>
  </si>
  <si>
    <t xml:space="preserve">Existing common shares</t>
  </si>
  <si>
    <t xml:space="preserve">pre-transaction issued common</t>
  </si>
  <si>
    <t xml:space="preserve">In-the-money options / RSUs</t>
  </si>
  <si>
    <t xml:space="preserve">treasury-stock or approved dilution method</t>
  </si>
  <si>
    <t xml:space="preserve">Primary shares issued</t>
  </si>
  <si>
    <t xml:space="preserve">new-money common issuance</t>
  </si>
  <si>
    <t xml:space="preserve">Rights shares issued</t>
  </si>
  <si>
    <t xml:space="preserve">shares issued under rights offering</t>
  </si>
  <si>
    <t xml:space="preserve">Convertible principal</t>
  </si>
  <si>
    <t xml:space="preserve">principal subject to conversion</t>
  </si>
  <si>
    <t xml:space="preserve">Conversion price</t>
  </si>
  <si>
    <t xml:space="preserve">contractual or adjusted conversion price</t>
  </si>
  <si>
    <t xml:space="preserve">Primary issue price</t>
  </si>
  <si>
    <t xml:space="preserve">gross primary price per share</t>
  </si>
  <si>
    <t xml:space="preserve">Transaction fees</t>
  </si>
  <si>
    <t xml:space="preserve">underwriting, legal, exchange, and other costs</t>
  </si>
  <si>
    <t xml:space="preserve">Maximum existing-holder dilution</t>
  </si>
  <si>
    <t xml:space="preserve">approved decision threshold</t>
  </si>
  <si>
    <t xml:space="preserve">Maximum option / RSU overhang</t>
  </si>
  <si>
    <t xml:space="preserve">options and RSUs / fully diluted shares</t>
  </si>
  <si>
    <t xml:space="preserve">Derived outputs</t>
  </si>
  <si>
    <t xml:space="preserve">Converted shares</t>
  </si>
  <si>
    <t xml:space="preserve">Fully diluted post-money shares</t>
  </si>
  <si>
    <t xml:space="preserve">Existing common ownership</t>
  </si>
  <si>
    <t xml:space="preserve">Existing-holder dilution</t>
  </si>
  <si>
    <t xml:space="preserve">Option / RSU overhang</t>
  </si>
  <si>
    <t xml:space="preserve">Gross primary proceeds</t>
  </si>
  <si>
    <t xml:space="preserve">Net primary proceeds</t>
  </si>
  <si>
    <t xml:space="preserve">Share-conservation residual</t>
  </si>
  <si>
    <t xml:space="preserve">The fully diluted denominator must use the security-specific treasury-stock, if-converted, contingently issuable, and anti-dilution conventions approved for the analysis.</t>
  </si>
  <si>
    <t xml:space="preserve">Rights Offering Economics and Holder Choices</t>
  </si>
  <si>
    <t xml:space="preserve">Interpretation</t>
  </si>
  <si>
    <t xml:space="preserve">Existing shares entitled</t>
  </si>
  <si>
    <t xml:space="preserve">record-date eligible shares</t>
  </si>
  <si>
    <t xml:space="preserve">Rights shares offered</t>
  </si>
  <si>
    <t xml:space="preserve">new shares available through rights</t>
  </si>
  <si>
    <t xml:space="preserve">Cum-rights market price</t>
  </si>
  <si>
    <t xml:space="preserve">unaffected reference price</t>
  </si>
  <si>
    <t xml:space="preserve">Subscription price</t>
  </si>
  <si>
    <t xml:space="preserve">cash exercise price</t>
  </si>
  <si>
    <t xml:space="preserve">Expected participation</t>
  </si>
  <si>
    <t xml:space="preserve">take-up before standby / rump placement</t>
  </si>
  <si>
    <t xml:space="preserve">Standby / backstop fee</t>
  </si>
  <si>
    <t xml:space="preserve">% of underwritten proceeds</t>
  </si>
  <si>
    <t xml:space="preserve">Theoretical ex-rights price</t>
  </si>
  <si>
    <t xml:space="preserve">Theoretical value per right / existing share</t>
  </si>
  <si>
    <t xml:space="preserve">Subscription discount</t>
  </si>
  <si>
    <t xml:space="preserve">Expected subscribed shares</t>
  </si>
  <si>
    <t xml:space="preserve">Expected gross proceeds</t>
  </si>
  <si>
    <t xml:space="preserve">Expected standby fee</t>
  </si>
  <si>
    <t xml:space="preserve">Expected net rights proceeds</t>
  </si>
  <si>
    <t xml:space="preserve">TERP is a frictionless reference. Actual value depends on trading, eligibility, taxes, participation, backstop terms, execution leakage, and the use of proceeds.</t>
  </si>
  <si>
    <t xml:space="preserve">Convertible Security Economics and If-Converted Dilution</t>
  </si>
  <si>
    <t xml:space="preserve">Principal</t>
  </si>
  <si>
    <t xml:space="preserve">outstanding principal</t>
  </si>
  <si>
    <t xml:space="preserve">post-adjustment conversion price</t>
  </si>
  <si>
    <t xml:space="preserve">Current share price</t>
  </si>
  <si>
    <t xml:space="preserve">market reference</t>
  </si>
  <si>
    <t xml:space="preserve">Cash coupon</t>
  </si>
  <si>
    <t xml:space="preserve">annual cash interest</t>
  </si>
  <si>
    <t xml:space="preserve">Remaining tenor</t>
  </si>
  <si>
    <t xml:space="preserve">years</t>
  </si>
  <si>
    <t xml:space="preserve">Redemption premium</t>
  </si>
  <si>
    <t xml:space="preserve">premium to principal at maturity / redemption</t>
  </si>
  <si>
    <t xml:space="preserve">Anti-dilution adjusted price</t>
  </si>
  <si>
    <t xml:space="preserve">approved modeled adjustment</t>
  </si>
  <si>
    <t xml:space="preserve">Contractual converted shares</t>
  </si>
  <si>
    <t xml:space="preserve">Anti-dilution adjusted shares</t>
  </si>
  <si>
    <t xml:space="preserve">Conversion value</t>
  </si>
  <si>
    <t xml:space="preserve">Redemption value</t>
  </si>
  <si>
    <t xml:space="preserve">Conversion parity</t>
  </si>
  <si>
    <t xml:space="preserve">Incremental anti-dilution shares</t>
  </si>
  <si>
    <t xml:space="preserve">Annual cash coupon</t>
  </si>
  <si>
    <t xml:space="preserve">This sheet models if-converted economics, not the full value of optionality. Call features, soft calls, resets, make-wholes, caps, floors, and settlement elections require explicit terms.</t>
  </si>
  <si>
    <t xml:space="preserve">Equity Finance Decision Dashboard and Independent Checks</t>
  </si>
  <si>
    <t xml:space="preserve">Check / decision</t>
  </si>
  <si>
    <t xml:space="preserve">Interpretation / action</t>
  </si>
  <si>
    <t xml:space="preserve">Fully diluted shares must reconcile to every issued and contingently issuable security.</t>
  </si>
  <si>
    <t xml:space="preserve">Ownership / dilution identity</t>
  </si>
  <si>
    <t xml:space="preserve">Existing ownership plus dilution must equal one.</t>
  </si>
  <si>
    <t xml:space="preserve">A financing that exceeds approved dilution requires explicit board and shareholder analysis.</t>
  </si>
  <si>
    <t xml:space="preserve">Track employee, acquisition, and contingent-equity dilution separately.</t>
  </si>
  <si>
    <t xml:space="preserve">Fees and discounts may not exceed gross proceeds.</t>
  </si>
  <si>
    <t xml:space="preserve">Rights TERP residual</t>
  </si>
  <si>
    <t xml:space="preserve">TERP must reconcile from old and new shares and their respective prices.</t>
  </si>
  <si>
    <t xml:space="preserve">Rights value</t>
  </si>
  <si>
    <t xml:space="preserve">Negative theoretical right value indicates inconsistent market or subscription inputs.</t>
  </si>
  <si>
    <t xml:space="preserve">Adversarial rights participation</t>
  </si>
  <si>
    <t xml:space="preserve">Low participation creates rump-placement, backstop, execution, and control risk.</t>
  </si>
  <si>
    <t xml:space="preserve">Converted-share reconciliation</t>
  </si>
  <si>
    <t xml:space="preserve">Cap table and convertible schedule must use the same principal and conversion price.</t>
  </si>
  <si>
    <t xml:space="preserve">Reset and anti-dilution provisions can materially expand fully diluted shares in downside cases.</t>
  </si>
  <si>
    <t xml:space="preserve">Overall model status</t>
  </si>
  <si>
    <t xml:space="preserve">Primary decision outputs</t>
  </si>
  <si>
    <t xml:space="preserve">Fully diluted shares</t>
  </si>
  <si>
    <t xml:space="preserve">Base TERP</t>
  </si>
  <si>
    <t xml:space="preserve">Adversarial anti-dilution shares</t>
  </si>
  <si>
    <t xml:space="preserve">Adversarial redemption value</t>
  </si>
  <si>
    <t xml:space="preserve">Income Statement ($mm)</t>
  </si>
  <si>
    <t xml:space="preserve">Line item</t>
  </si>
  <si>
    <t xml:space="preserve">FY-2A</t>
  </si>
  <si>
    <t xml:space="preserve">FY-1A</t>
  </si>
  <si>
    <t xml:space="preserve">FY0A</t>
  </si>
  <si>
    <t xml:space="preserve">FY1E</t>
  </si>
  <si>
    <t xml:space="preserve">FY2E</t>
  </si>
  <si>
    <t xml:space="preserve">FY3E</t>
  </si>
  <si>
    <t xml:space="preserve">FY4E</t>
  </si>
  <si>
    <t xml:space="preserve">Revenue</t>
  </si>
  <si>
    <t xml:space="preserve">COGS</t>
  </si>
  <si>
    <t xml:space="preserve">Gross profit</t>
  </si>
  <si>
    <t xml:space="preserve">Opex</t>
  </si>
  <si>
    <t xml:space="preserve">EBITDA</t>
  </si>
  <si>
    <t xml:space="preserve">EBITDA margin %</t>
  </si>
  <si>
    <t xml:space="preserve">D&amp;A</t>
  </si>
  <si>
    <t xml:space="preserve">EBIT</t>
  </si>
  <si>
    <t xml:space="preserve">Interest expense</t>
  </si>
  <si>
    <t xml:space="preserve">Pre-tax income</t>
  </si>
  <si>
    <t xml:space="preserve">Tax</t>
  </si>
  <si>
    <t xml:space="preserve">Net income</t>
  </si>
  <si>
    <t xml:space="preserve">Diluted shares</t>
  </si>
  <si>
    <t xml:space="preserve">Diluted EPS</t>
  </si>
  <si>
    <t xml:space="preserve">Balance Sheet ($mm)</t>
  </si>
  <si>
    <t xml:space="preserve">Cash &amp; equivalents</t>
  </si>
  <si>
    <t xml:space="preserve">Accounts receivable</t>
  </si>
  <si>
    <t xml:space="preserve">Inventory</t>
  </si>
  <si>
    <t xml:space="preserve">Total current assets</t>
  </si>
  <si>
    <t xml:space="preserve">PP&amp;E net</t>
  </si>
  <si>
    <t xml:space="preserve">Goodwill &amp; intangibles</t>
  </si>
  <si>
    <t xml:space="preserve">Total assets</t>
  </si>
  <si>
    <t xml:space="preserve">Accounts payable</t>
  </si>
  <si>
    <t xml:space="preserve">Debt (current)</t>
  </si>
  <si>
    <t xml:space="preserve">Total current liabilities</t>
  </si>
  <si>
    <t xml:space="preserve">Long-term debt</t>
  </si>
  <si>
    <t xml:space="preserve">Total liabilities</t>
  </si>
  <si>
    <t xml:space="preserve">Total equity</t>
  </si>
  <si>
    <t xml:space="preserve">Balance check (Total assets - Total liabilities - Total equity, should = 0)</t>
  </si>
  <si>
    <t xml:space="preserve">Cash Flow ($mm)</t>
  </si>
  <si>
    <t xml:space="preserve">+ D&amp;A</t>
  </si>
  <si>
    <t xml:space="preserve">+/- Change in NWC</t>
  </si>
  <si>
    <t xml:space="preserve">Cash flow from operations</t>
  </si>
  <si>
    <t xml:space="preserve">Capex</t>
  </si>
  <si>
    <t xml:space="preserve">Free cash flow</t>
  </si>
  <si>
    <t xml:space="preserve">Debt issuance/(repayment)</t>
  </si>
  <si>
    <t xml:space="preserve">Dividends/buybacks</t>
  </si>
  <si>
    <t xml:space="preserve">Net change in cash</t>
  </si>
  <si>
    <t xml:space="preserve">DCF Valuation</t>
  </si>
  <si>
    <t xml:space="preserve">FY5E</t>
  </si>
  <si>
    <t xml:space="preserve">Key outputs</t>
  </si>
  <si>
    <t xml:space="preserve">Unlevered FCF</t>
  </si>
  <si>
    <t xml:space="preserve">WACC</t>
  </si>
  <si>
    <t xml:space="preserve">Discount factor</t>
  </si>
  <si>
    <t xml:space="preserve">Terminal growth</t>
  </si>
  <si>
    <t xml:space="preserve">PV of FCF</t>
  </si>
  <si>
    <t xml:space="preserve">Terminal value</t>
  </si>
  <si>
    <t xml:space="preserve">PV of terminal value</t>
  </si>
  <si>
    <t xml:space="preserve">Sum PV of FCF</t>
  </si>
  <si>
    <t xml:space="preserve">Enterprise value</t>
  </si>
  <si>
    <t xml:space="preserve">Less: net debt</t>
  </si>
  <si>
    <t xml:space="preserve">Equity value</t>
  </si>
  <si>
    <t xml:space="preserve">Diluted shares (mm)</t>
  </si>
  <si>
    <t xml:space="preserve">Implied value/share</t>
  </si>
  <si>
    <t xml:space="preserve">Comparable Companies</t>
  </si>
  <si>
    <t xml:space="preserve">Ticker</t>
  </si>
  <si>
    <t xml:space="preserve">Price</t>
  </si>
  <si>
    <t xml:space="preserve">Mkt Cap</t>
  </si>
  <si>
    <t xml:space="preserve">EV</t>
  </si>
  <si>
    <t xml:space="preserve">EV/Rev</t>
  </si>
  <si>
    <t xml:space="preserve">EV/EBITDA</t>
  </si>
  <si>
    <t xml:space="preserve">P/E</t>
  </si>
  <si>
    <t xml:space="preserve">[TICKER]</t>
  </si>
  <si>
    <t xml:space="preserve">Median</t>
  </si>
  <si>
    <t xml:space="preserve">Sensitivity — Implied Value/Share</t>
  </si>
  <si>
    <t xml:space="preserve">WACC \ Term. growth</t>
  </si>
  <si>
    <t xml:space="preserve">[data table — Excel What-If Analysis]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</si>
  <si>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</si>
  <si>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</si>
  <si>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</si>
  <si>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</si>
  <si>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</si>
  <si>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M1-to-M2 domain hardening benchmark</t>
  </si>
  <si>
    <t xml:space="preserve">Generated adversarial benchmark equity-adversarial-dilution from the canonical hardened release template</t>
  </si>
  <si>
    <t xml:space="preserve">Synthetic engineering fixture only; does not count toward M4 or live approval</t>
  </si>
  <si>
    <t xml:space="preserve">On builder, reference-check, formula, or contract change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</si>
</sst>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;\(0.0%\);\-"/>
    <numFmt numFmtId="166" formatCode="#,##0;\(#,##0\);\-"/>
    <numFmt numFmtId="167" formatCode="\$#,##0;&quot;($&quot;#,##0\);\-"/>
    <numFmt numFmtId="168" formatCode="\$#,##0.00;&quot;($&quot;#,##0.00\);\-"/>
    <numFmt numFmtId="169" formatCode="0.0"/>
    <numFmt numFmtId="170" formatCode="0.0\x"/>
    <numFmt numFmtId="171" formatCode="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4" t="s">
        <v>6</v>
      </c>
    </row>
    <row r="7" customFormat="false" ht="15" hidden="false" customHeight="false" outlineLevel="0" collapsed="false">
      <c r="B7" s="2" t="s">
        <v>7</v>
      </c>
      <c r="C7" s="3" t="s">
        <v>4</v>
      </c>
    </row>
    <row r="8" customFormat="false" ht="15" hidden="false" customHeight="false" outlineLevel="0" collapsed="false">
      <c r="B8" s="2" t="s">
        <v>8</v>
      </c>
      <c r="C8" s="5" t="s">
        <v>9</v>
      </c>
    </row>
    <row r="10" customFormat="false" ht="15" hidden="false" customHeight="false" outlineLevel="0" collapsed="false">
      <c r="B10" s="2" t="s">
        <v>10</v>
      </c>
    </row>
    <row r="11" customFormat="false" ht="15" hidden="false" customHeight="false" outlineLevel="0" collapsed="false">
      <c r="B11" s="6" t="s">
        <v>2</v>
      </c>
      <c r="C11" s="6"/>
      <c r="D11" s="6"/>
    </row>
    <row r="12" customFormat="false" ht="15" hidden="false" customHeight="false" outlineLevel="0" collapsed="false">
      <c r="B12" s="6"/>
      <c r="C12" s="6"/>
      <c r="D12" s="6"/>
    </row>
    <row r="13" customFormat="false" ht="15" hidden="false" customHeight="false" outlineLevel="0" collapsed="false">
      <c r="B13" s="6"/>
      <c r="C13" s="6"/>
      <c r="D13" s="6"/>
    </row>
    <row r="14" customFormat="false" ht="15" hidden="false" customHeight="false" outlineLevel="0" collapsed="false">
      <c r="B14" s="6"/>
      <c r="C14" s="6"/>
      <c r="D14" s="6"/>
    </row>
    <row r="16" customFormat="false" ht="1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3" t="s">
        <v>12</v>
      </c>
      <c r="C17" s="5" t="s">
        <v>13</v>
      </c>
    </row>
    <row r="18" customFormat="false" ht="15" hidden="false" customHeight="false" outlineLevel="0" collapsed="false">
      <c r="B18" s="5" t="s">
        <v>14</v>
      </c>
      <c r="C18" s="5" t="s">
        <v>15</v>
      </c>
    </row>
    <row r="19" customFormat="false" ht="15" hidden="false" customHeight="false" outlineLevel="0" collapsed="false">
      <c r="B19" s="7" t="s">
        <v>16</v>
      </c>
      <c r="C19" s="5" t="s">
        <v>17</v>
      </c>
    </row>
    <row r="20" customFormat="false" ht="15" hidden="false" customHeight="false" outlineLevel="0" collapsed="false">
      <c r="B20" s="8" t="s">
        <v>18</v>
      </c>
      <c r="C20" s="5" t="s">
        <v>19</v>
      </c>
    </row>
  </sheetData>
  <mergeCells count="1">
    <mergeCell ref="B11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9" t="s">
        <v>20</v>
      </c>
      <c r="C2" s="9"/>
      <c r="D2" s="9"/>
      <c r="E2" s="9"/>
      <c r="F2" s="9"/>
    </row>
    <row r="4" customFormat="false" ht="15" hidden="false" customHeight="true" outlineLevel="0" collapsed="false">
      <c r="B4" s="10" t="s">
        <v>21</v>
      </c>
      <c r="C4" s="11" t="s">
        <v>22</v>
      </c>
      <c r="D4" s="11"/>
      <c r="E4" s="11"/>
      <c r="F4" s="11"/>
    </row>
    <row r="5" customFormat="false" ht="15" hidden="false" customHeight="true" outlineLevel="0" collapsed="false">
      <c r="B5" s="10" t="s">
        <v>23</v>
      </c>
      <c r="C5" s="11" t="s">
        <v>24</v>
      </c>
      <c r="D5" s="11"/>
      <c r="E5" s="11"/>
      <c r="F5" s="11"/>
    </row>
    <row r="6" customFormat="false" ht="15" hidden="false" customHeight="true" outlineLevel="0" collapsed="false">
      <c r="B6" s="10" t="s">
        <v>25</v>
      </c>
      <c r="C6" s="11" t="s">
        <v>26</v>
      </c>
      <c r="D6" s="11"/>
      <c r="E6" s="11"/>
      <c r="F6" s="11"/>
    </row>
    <row r="7" customFormat="false" ht="15" hidden="false" customHeight="true" outlineLevel="0" collapsed="false">
      <c r="B7" s="10" t="s">
        <v>27</v>
      </c>
      <c r="C7" s="11" t="s">
        <v>28</v>
      </c>
      <c r="D7" s="11"/>
      <c r="E7" s="11"/>
      <c r="F7" s="11"/>
    </row>
    <row r="8" customFormat="false" ht="15" hidden="false" customHeight="true" outlineLevel="0" collapsed="false">
      <c r="B8" s="10" t="s">
        <v>29</v>
      </c>
      <c r="C8" s="11" t="s">
        <v>30</v>
      </c>
      <c r="D8" s="11"/>
      <c r="E8" s="11"/>
      <c r="F8" s="11"/>
    </row>
    <row r="9" customFormat="false" ht="15" hidden="false" customHeight="true" outlineLevel="0" collapsed="false">
      <c r="B9" s="10" t="s">
        <v>31</v>
      </c>
      <c r="C9" s="11" t="s">
        <v>32</v>
      </c>
      <c r="D9" s="11"/>
      <c r="E9" s="11"/>
      <c r="F9" s="11"/>
    </row>
    <row r="10" customFormat="false" ht="15" hidden="false" customHeight="true" outlineLevel="0" collapsed="false">
      <c r="B10" s="10" t="s">
        <v>33</v>
      </c>
      <c r="C10" s="11" t="s">
        <v>34</v>
      </c>
      <c r="D10" s="11"/>
      <c r="E10" s="11"/>
      <c r="F10" s="11"/>
    </row>
    <row r="12" customFormat="false" ht="15" hidden="false" customHeight="false" outlineLevel="0" collapsed="false">
      <c r="B12" s="12" t="s">
        <v>35</v>
      </c>
      <c r="C12" s="12"/>
      <c r="D12" s="12"/>
      <c r="E12" s="12"/>
      <c r="F12" s="12"/>
    </row>
    <row r="13" customFormat="false" ht="15" hidden="false" customHeight="false" outlineLevel="0" collapsed="false">
      <c r="B13" s="13" t="s">
        <v>36</v>
      </c>
      <c r="C13" s="13" t="s">
        <v>37</v>
      </c>
      <c r="D13" s="13" t="s">
        <v>38</v>
      </c>
      <c r="E13" s="13" t="s">
        <v>39</v>
      </c>
      <c r="F13" s="13" t="s">
        <v>40</v>
      </c>
    </row>
    <row r="14" customFormat="false" ht="15" hidden="false" customHeight="false" outlineLevel="0" collapsed="false">
      <c r="B14" s="0" t="n">
        <v>1</v>
      </c>
      <c r="C14" s="0" t="s">
        <v>41</v>
      </c>
      <c r="F14" s="14" t="s">
        <v>42</v>
      </c>
    </row>
    <row r="15" customFormat="false" ht="15" hidden="false" customHeight="false" outlineLevel="0" collapsed="false">
      <c r="B15" s="0" t="n">
        <v>2</v>
      </c>
      <c r="C15" s="0" t="s">
        <v>43</v>
      </c>
      <c r="F15" s="14" t="s">
        <v>42</v>
      </c>
    </row>
    <row r="16" customFormat="false" ht="15" hidden="false" customHeight="false" outlineLevel="0" collapsed="false">
      <c r="B16" s="0" t="n">
        <v>3</v>
      </c>
      <c r="C16" s="0" t="s">
        <v>44</v>
      </c>
      <c r="F16" s="14" t="s">
        <v>42</v>
      </c>
    </row>
    <row r="17" customFormat="false" ht="15" hidden="false" customHeight="false" outlineLevel="0" collapsed="false">
      <c r="B17" s="0" t="n">
        <v>4</v>
      </c>
      <c r="C17" s="0" t="s">
        <v>45</v>
      </c>
      <c r="F17" s="14" t="s">
        <v>42</v>
      </c>
    </row>
    <row r="18" customFormat="false" ht="15" hidden="false" customHeight="false" outlineLevel="0" collapsed="false">
      <c r="B18" s="0" t="n">
        <v>5</v>
      </c>
      <c r="C18" s="0" t="s">
        <v>46</v>
      </c>
      <c r="F18" s="14" t="s">
        <v>42</v>
      </c>
    </row>
    <row r="20" customFormat="false" ht="15" hidden="false" customHeight="false" outlineLevel="0" collapsed="false">
      <c r="B20" s="12" t="s">
        <v>47</v>
      </c>
      <c r="C20" s="12"/>
      <c r="D20" s="12"/>
      <c r="E20" s="12"/>
      <c r="F20" s="12"/>
    </row>
    <row r="21" customFormat="false" ht="15" hidden="false" customHeight="false" outlineLevel="0" collapsed="false">
      <c r="B21" s="13" t="s">
        <v>36</v>
      </c>
      <c r="C21" s="13" t="s">
        <v>37</v>
      </c>
      <c r="D21" s="13" t="s">
        <v>38</v>
      </c>
      <c r="E21" s="13" t="s">
        <v>39</v>
      </c>
      <c r="F21" s="13" t="s">
        <v>40</v>
      </c>
    </row>
    <row r="22" customFormat="false" ht="15" hidden="false" customHeight="false" outlineLevel="0" collapsed="false">
      <c r="B22" s="0" t="n">
        <v>1</v>
      </c>
      <c r="C22" s="0" t="s">
        <v>48</v>
      </c>
      <c r="F22" s="14" t="s">
        <v>42</v>
      </c>
    </row>
    <row r="23" customFormat="false" ht="15" hidden="false" customHeight="false" outlineLevel="0" collapsed="false">
      <c r="B23" s="0" t="n">
        <v>2</v>
      </c>
      <c r="C23" s="0" t="s">
        <v>49</v>
      </c>
      <c r="F23" s="14" t="s">
        <v>42</v>
      </c>
    </row>
    <row r="24" customFormat="false" ht="15" hidden="false" customHeight="false" outlineLevel="0" collapsed="false">
      <c r="B24" s="0" t="n">
        <v>3</v>
      </c>
      <c r="C24" s="0" t="s">
        <v>50</v>
      </c>
      <c r="F24" s="14" t="s">
        <v>42</v>
      </c>
    </row>
    <row r="25" customFormat="false" ht="15" hidden="false" customHeight="false" outlineLevel="0" collapsed="false">
      <c r="B25" s="0" t="n">
        <v>4</v>
      </c>
      <c r="C25" s="0" t="s">
        <v>51</v>
      </c>
      <c r="F25" s="14" t="s">
        <v>42</v>
      </c>
    </row>
    <row r="26" customFormat="false" ht="15" hidden="false" customHeight="false" outlineLevel="0" collapsed="false">
      <c r="B26" s="0" t="n">
        <v>5</v>
      </c>
      <c r="C26" s="0" t="s">
        <v>52</v>
      </c>
      <c r="F26" s="14" t="s">
        <v>42</v>
      </c>
    </row>
    <row r="28" customFormat="false" ht="15" hidden="false" customHeight="false" outlineLevel="0" collapsed="false">
      <c r="B28" s="12" t="s">
        <v>53</v>
      </c>
      <c r="C28" s="12"/>
      <c r="D28" s="12"/>
      <c r="E28" s="12"/>
      <c r="F28" s="12"/>
    </row>
    <row r="29" customFormat="false" ht="15" hidden="false" customHeight="false" outlineLevel="0" collapsed="false">
      <c r="B29" s="13" t="s">
        <v>36</v>
      </c>
      <c r="C29" s="13" t="s">
        <v>37</v>
      </c>
      <c r="D29" s="13" t="s">
        <v>38</v>
      </c>
      <c r="E29" s="13" t="s">
        <v>39</v>
      </c>
      <c r="F29" s="13" t="s">
        <v>40</v>
      </c>
    </row>
    <row r="30" customFormat="false" ht="15" hidden="false" customHeight="false" outlineLevel="0" collapsed="false">
      <c r="B30" s="0" t="n">
        <v>1</v>
      </c>
      <c r="C30" s="0" t="s">
        <v>54</v>
      </c>
      <c r="F30" s="14" t="s">
        <v>42</v>
      </c>
    </row>
    <row r="31" customFormat="false" ht="15" hidden="false" customHeight="false" outlineLevel="0" collapsed="false">
      <c r="B31" s="0" t="n">
        <v>2</v>
      </c>
      <c r="C31" s="0" t="s">
        <v>55</v>
      </c>
      <c r="F31" s="14" t="s">
        <v>42</v>
      </c>
    </row>
    <row r="32" customFormat="false" ht="15" hidden="false" customHeight="false" outlineLevel="0" collapsed="false">
      <c r="B32" s="0" t="n">
        <v>3</v>
      </c>
      <c r="C32" s="0" t="s">
        <v>56</v>
      </c>
      <c r="F32" s="14" t="s">
        <v>42</v>
      </c>
    </row>
    <row r="33" customFormat="false" ht="15" hidden="false" customHeight="false" outlineLevel="0" collapsed="false">
      <c r="B33" s="0" t="n">
        <v>4</v>
      </c>
      <c r="C33" s="0" t="s">
        <v>57</v>
      </c>
      <c r="F33" s="14" t="s">
        <v>42</v>
      </c>
    </row>
    <row r="34" customFormat="false" ht="15" hidden="false" customHeight="false" outlineLevel="0" collapsed="false">
      <c r="B34" s="0" t="n">
        <v>5</v>
      </c>
      <c r="C34" s="0" t="s">
        <v>58</v>
      </c>
      <c r="F34" s="14" t="s">
        <v>42</v>
      </c>
    </row>
    <row r="36" customFormat="false" ht="15" hidden="false" customHeight="false" outlineLevel="0" collapsed="false">
      <c r="B36" s="12" t="s">
        <v>59</v>
      </c>
      <c r="C36" s="12"/>
      <c r="D36" s="12"/>
      <c r="E36" s="12"/>
      <c r="F36" s="12"/>
    </row>
    <row r="37" customFormat="false" ht="15" hidden="false" customHeight="false" outlineLevel="0" collapsed="false">
      <c r="B37" s="13" t="s">
        <v>36</v>
      </c>
      <c r="C37" s="13" t="s">
        <v>37</v>
      </c>
      <c r="D37" s="13" t="s">
        <v>38</v>
      </c>
      <c r="E37" s="13" t="s">
        <v>39</v>
      </c>
      <c r="F37" s="13" t="s">
        <v>40</v>
      </c>
    </row>
    <row r="38" customFormat="false" ht="15" hidden="false" customHeight="false" outlineLevel="0" collapsed="false">
      <c r="B38" s="0" t="n">
        <v>1</v>
      </c>
      <c r="C38" s="0" t="s">
        <v>60</v>
      </c>
      <c r="F38" s="14" t="s">
        <v>42</v>
      </c>
    </row>
    <row r="39" customFormat="false" ht="15" hidden="false" customHeight="false" outlineLevel="0" collapsed="false">
      <c r="B39" s="0" t="n">
        <v>2</v>
      </c>
      <c r="C39" s="0" t="s">
        <v>61</v>
      </c>
      <c r="F39" s="14" t="s">
        <v>42</v>
      </c>
    </row>
    <row r="40" customFormat="false" ht="15" hidden="false" customHeight="false" outlineLevel="0" collapsed="false">
      <c r="B40" s="0" t="n">
        <v>3</v>
      </c>
      <c r="C40" s="0" t="s">
        <v>62</v>
      </c>
      <c r="F40" s="14" t="s">
        <v>42</v>
      </c>
    </row>
    <row r="41" customFormat="false" ht="15" hidden="false" customHeight="false" outlineLevel="0" collapsed="false">
      <c r="B41" s="0" t="n">
        <v>4</v>
      </c>
      <c r="C41" s="0" t="s">
        <v>63</v>
      </c>
      <c r="F41" s="14" t="s">
        <v>42</v>
      </c>
    </row>
    <row r="42" customFormat="false" ht="15" hidden="false" customHeight="false" outlineLevel="0" collapsed="false">
      <c r="B42" s="0" t="n">
        <v>5</v>
      </c>
      <c r="C42" s="0" t="s">
        <v>64</v>
      </c>
      <c r="F42" s="14" t="s">
        <v>42</v>
      </c>
    </row>
    <row r="44" customFormat="false" ht="15" hidden="false" customHeight="false" outlineLevel="0" collapsed="false">
      <c r="B44" s="12" t="s">
        <v>65</v>
      </c>
      <c r="C44" s="12"/>
      <c r="D44" s="12"/>
      <c r="E44" s="12"/>
      <c r="F44" s="12"/>
    </row>
    <row r="45" customFormat="false" ht="15" hidden="false" customHeight="false" outlineLevel="0" collapsed="false">
      <c r="B45" s="13" t="s">
        <v>36</v>
      </c>
      <c r="C45" s="13" t="s">
        <v>37</v>
      </c>
      <c r="D45" s="13" t="s">
        <v>38</v>
      </c>
      <c r="E45" s="13" t="s">
        <v>39</v>
      </c>
      <c r="F45" s="13" t="s">
        <v>40</v>
      </c>
    </row>
    <row r="46" customFormat="false" ht="15" hidden="false" customHeight="false" outlineLevel="0" collapsed="false">
      <c r="B46" s="0" t="n">
        <v>1</v>
      </c>
      <c r="C46" s="0" t="s">
        <v>66</v>
      </c>
      <c r="F46" s="14" t="s">
        <v>42</v>
      </c>
    </row>
    <row r="47" customFormat="false" ht="15" hidden="false" customHeight="false" outlineLevel="0" collapsed="false">
      <c r="B47" s="0" t="n">
        <v>2</v>
      </c>
      <c r="C47" s="0" t="s">
        <v>67</v>
      </c>
      <c r="F47" s="14" t="s">
        <v>42</v>
      </c>
    </row>
    <row r="48" customFormat="false" ht="15" hidden="false" customHeight="false" outlineLevel="0" collapsed="false">
      <c r="B48" s="0" t="n">
        <v>3</v>
      </c>
      <c r="C48" s="0" t="s">
        <v>68</v>
      </c>
      <c r="F48" s="14" t="s">
        <v>42</v>
      </c>
    </row>
    <row r="49" customFormat="false" ht="15" hidden="false" customHeight="false" outlineLevel="0" collapsed="false">
      <c r="B49" s="0" t="n">
        <v>4</v>
      </c>
      <c r="C49" s="0" t="s">
        <v>69</v>
      </c>
      <c r="F49" s="14" t="s">
        <v>42</v>
      </c>
    </row>
    <row r="50" customFormat="false" ht="15" hidden="false" customHeight="false" outlineLevel="0" collapsed="false">
      <c r="B50" s="0" t="n">
        <v>5</v>
      </c>
      <c r="C50" s="0" t="s">
        <v>70</v>
      </c>
      <c r="F50" s="14" t="s">
        <v>42</v>
      </c>
    </row>
    <row r="52" customFormat="false" ht="15" hidden="false" customHeight="false" outlineLevel="0" collapsed="false">
      <c r="B52" s="12" t="s">
        <v>71</v>
      </c>
      <c r="C52" s="12"/>
      <c r="D52" s="12"/>
      <c r="E52" s="12"/>
      <c r="F52" s="12"/>
    </row>
    <row r="53" customFormat="false" ht="15" hidden="false" customHeight="false" outlineLevel="0" collapsed="false">
      <c r="B53" s="13" t="s">
        <v>36</v>
      </c>
      <c r="C53" s="13" t="s">
        <v>37</v>
      </c>
      <c r="D53" s="13" t="s">
        <v>38</v>
      </c>
      <c r="E53" s="13" t="s">
        <v>39</v>
      </c>
      <c r="F53" s="13" t="s">
        <v>40</v>
      </c>
    </row>
    <row r="54" customFormat="false" ht="15" hidden="false" customHeight="false" outlineLevel="0" collapsed="false">
      <c r="B54" s="0" t="n">
        <v>1</v>
      </c>
      <c r="C54" s="0" t="s">
        <v>72</v>
      </c>
      <c r="F54" s="14" t="s">
        <v>42</v>
      </c>
    </row>
    <row r="55" customFormat="false" ht="15" hidden="false" customHeight="false" outlineLevel="0" collapsed="false">
      <c r="B55" s="0" t="n">
        <v>2</v>
      </c>
      <c r="C55" s="0" t="s">
        <v>73</v>
      </c>
      <c r="F55" s="14" t="s">
        <v>42</v>
      </c>
    </row>
    <row r="56" customFormat="false" ht="15" hidden="false" customHeight="false" outlineLevel="0" collapsed="false">
      <c r="B56" s="0" t="n">
        <v>3</v>
      </c>
      <c r="C56" s="0" t="s">
        <v>74</v>
      </c>
      <c r="F56" s="14" t="s">
        <v>42</v>
      </c>
    </row>
    <row r="57" customFormat="false" ht="15" hidden="false" customHeight="false" outlineLevel="0" collapsed="false">
      <c r="B57" s="0" t="n">
        <v>4</v>
      </c>
      <c r="C57" s="0" t="s">
        <v>75</v>
      </c>
      <c r="F57" s="14" t="s">
        <v>42</v>
      </c>
    </row>
    <row r="58" customFormat="false" ht="15" hidden="false" customHeight="false" outlineLevel="0" collapsed="false">
      <c r="B58" s="0" t="n">
        <v>5</v>
      </c>
      <c r="C58" s="0" t="s">
        <v>76</v>
      </c>
      <c r="F58" s="14" t="s">
        <v>42</v>
      </c>
    </row>
    <row r="60" customFormat="false" ht="15" hidden="false" customHeight="false" outlineLevel="0" collapsed="false">
      <c r="B60" s="12" t="s">
        <v>77</v>
      </c>
      <c r="C60" s="12"/>
      <c r="D60" s="12"/>
      <c r="E60" s="12"/>
      <c r="F60" s="12"/>
    </row>
    <row r="61" customFormat="false" ht="15" hidden="false" customHeight="false" outlineLevel="0" collapsed="false">
      <c r="B61" s="13" t="s">
        <v>78</v>
      </c>
      <c r="C61" s="13" t="s">
        <v>79</v>
      </c>
      <c r="D61" s="13" t="s">
        <v>80</v>
      </c>
      <c r="E61" s="13" t="s">
        <v>81</v>
      </c>
      <c r="F61" s="13" t="s">
        <v>82</v>
      </c>
    </row>
    <row r="62" customFormat="false" ht="15" hidden="false" customHeight="false" outlineLevel="0" collapsed="false">
      <c r="B62" s="0" t="s">
        <v>83</v>
      </c>
      <c r="C62" s="0" t="s">
        <v>84</v>
      </c>
      <c r="D62" s="0" t="s">
        <v>85</v>
      </c>
      <c r="E62" s="0" t="s">
        <v>86</v>
      </c>
    </row>
    <row r="63" customFormat="false" ht="15" hidden="false" customHeight="false" outlineLevel="0" collapsed="false">
      <c r="B63" s="0" t="s">
        <v>87</v>
      </c>
      <c r="C63" s="0" t="s">
        <v>88</v>
      </c>
      <c r="D63" s="0" t="s">
        <v>89</v>
      </c>
      <c r="E63" s="0" t="s">
        <v>86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9" t="s">
        <v>90</v>
      </c>
      <c r="C2" s="9"/>
      <c r="D2" s="9"/>
      <c r="E2" s="9"/>
      <c r="F2" s="9"/>
      <c r="G2" s="9"/>
      <c r="H2" s="9"/>
      <c r="I2" s="9"/>
    </row>
    <row r="4" customFormat="false" ht="15" hidden="false" customHeight="false" outlineLevel="0" collapsed="false">
      <c r="B4" s="13" t="s">
        <v>91</v>
      </c>
      <c r="C4" s="13" t="s">
        <v>92</v>
      </c>
      <c r="D4" s="13" t="s">
        <v>93</v>
      </c>
      <c r="E4" s="13" t="s">
        <v>94</v>
      </c>
      <c r="F4" s="13" t="s">
        <v>95</v>
      </c>
      <c r="G4" s="13" t="s">
        <v>96</v>
      </c>
      <c r="H4" s="13" t="s">
        <v>40</v>
      </c>
      <c r="I4" s="13" t="s">
        <v>97</v>
      </c>
    </row>
    <row r="5" customFormat="false" ht="15" hidden="false" customHeight="false" outlineLevel="0" collapsed="false">
      <c r="D5" s="0" t="s">
        <v>66</v>
      </c>
      <c r="H5" s="14" t="s">
        <v>42</v>
      </c>
    </row>
    <row r="6" customFormat="false" ht="15" hidden="false" customHeight="false" outlineLevel="0" collapsed="false">
      <c r="D6" s="0" t="s">
        <v>67</v>
      </c>
      <c r="H6" s="14" t="s">
        <v>42</v>
      </c>
    </row>
    <row r="7" customFormat="false" ht="15" hidden="false" customHeight="false" outlineLevel="0" collapsed="false">
      <c r="D7" s="0" t="s">
        <v>68</v>
      </c>
      <c r="H7" s="14" t="s">
        <v>42</v>
      </c>
    </row>
    <row r="8" customFormat="false" ht="15" hidden="false" customHeight="false" outlineLevel="0" collapsed="false">
      <c r="D8" s="0" t="s">
        <v>69</v>
      </c>
      <c r="H8" s="14" t="s">
        <v>42</v>
      </c>
    </row>
    <row r="9" customFormat="false" ht="15" hidden="false" customHeight="false" outlineLevel="0" collapsed="false">
      <c r="D9" s="0" t="s">
        <v>70</v>
      </c>
      <c r="H9" s="14" t="s">
        <v>42</v>
      </c>
    </row>
    <row r="10" customFormat="false" ht="15" hidden="false" customHeight="false" outlineLevel="0" collapsed="false">
      <c r="H10" s="14"/>
    </row>
    <row r="11" customFormat="false" ht="15" hidden="false" customHeight="false" outlineLevel="0" collapsed="false">
      <c r="H11" s="14"/>
    </row>
    <row r="12" customFormat="false" ht="15" hidden="false" customHeight="false" outlineLevel="0" collapsed="false">
      <c r="H12" s="14"/>
    </row>
    <row r="13" customFormat="false" ht="15" hidden="false" customHeight="false" outlineLevel="0" collapsed="false">
      <c r="H13" s="14"/>
    </row>
    <row r="14" customFormat="false" ht="15" hidden="false" customHeight="false" outlineLevel="0" collapsed="false">
      <c r="H14" s="14"/>
    </row>
    <row r="15" customFormat="false" ht="15" hidden="false" customHeight="false" outlineLevel="0" collapsed="false">
      <c r="H15" s="14"/>
    </row>
    <row r="16" customFormat="false" ht="15" hidden="false" customHeight="false" outlineLevel="0" collapsed="false">
      <c r="H16" s="14"/>
    </row>
    <row r="17" customFormat="false" ht="15" hidden="false" customHeight="false" outlineLevel="0" collapsed="false">
      <c r="H17" s="14"/>
    </row>
    <row r="18" customFormat="false" ht="15" hidden="false" customHeight="false" outlineLevel="0" collapsed="false">
      <c r="H18" s="14"/>
    </row>
    <row r="19" customFormat="false" ht="15" hidden="false" customHeight="false" outlineLevel="0" collapsed="false">
      <c r="H19" s="14"/>
    </row>
    <row r="20" customFormat="false" ht="15" hidden="false" customHeight="false" outlineLevel="0" collapsed="false">
      <c r="H20" s="14"/>
    </row>
    <row r="21" customFormat="false" ht="15" hidden="false" customHeight="false" outlineLevel="0" collapsed="false">
      <c r="H21" s="14"/>
    </row>
    <row r="22" customFormat="false" ht="15" hidden="false" customHeight="false" outlineLevel="0" collapsed="false">
      <c r="H22" s="14"/>
    </row>
    <row r="23" customFormat="false" ht="15" hidden="false" customHeight="false" outlineLevel="0" collapsed="false">
      <c r="H23" s="14"/>
    </row>
    <row r="24" customFormat="false" ht="15" hidden="false" customHeight="false" outlineLevel="0" collapsed="false">
      <c r="H24" s="14"/>
    </row>
    <row r="25" customFormat="false" ht="15" hidden="false" customHeight="false" outlineLevel="0" collapsed="false">
      <c r="H25" s="14"/>
    </row>
    <row r="26" customFormat="false" ht="15" hidden="false" customHeight="false" outlineLevel="0" collapsed="false">
      <c r="H26" s="14"/>
    </row>
    <row r="27" customFormat="false" ht="15" hidden="false" customHeight="false" outlineLevel="0" collapsed="false">
      <c r="H27" s="14"/>
    </row>
    <row r="28" customFormat="false" ht="15" hidden="false" customHeight="false" outlineLevel="0" collapsed="false">
      <c r="H28" s="14"/>
    </row>
    <row r="29" customFormat="false" ht="15" hidden="false" customHeight="false" outlineLevel="0" collapsed="false">
      <c r="H29" s="14"/>
    </row>
    <row r="30" customFormat="false" ht="15" hidden="false" customHeight="false" outlineLevel="0" collapsed="false">
      <c r="H30" s="14"/>
    </row>
    <row r="31" customFormat="false" ht="15" hidden="false" customHeight="false" outlineLevel="0" collapsed="false">
      <c r="H31" s="14"/>
    </row>
    <row r="32" customFormat="false" ht="15" hidden="false" customHeight="false" outlineLevel="0" collapsed="false">
      <c r="H32" s="14"/>
    </row>
    <row r="33" customFormat="false" ht="15" hidden="false" customHeight="false" outlineLevel="0" collapsed="false">
      <c r="H33" s="14"/>
    </row>
    <row r="34" customFormat="false" ht="15" hidden="false" customHeight="false" outlineLevel="0" collapsed="false">
      <c r="H34" s="14"/>
    </row>
    <row r="35" customFormat="false" ht="15" hidden="false" customHeight="false" outlineLevel="0" collapsed="false">
      <c r="H35" s="14"/>
    </row>
    <row r="36" customFormat="false" ht="15" hidden="false" customHeight="false" outlineLevel="0" collapsed="false">
      <c r="H36" s="14"/>
    </row>
    <row r="37" customFormat="false" ht="15" hidden="false" customHeight="false" outlineLevel="0" collapsed="false">
      <c r="H37" s="14"/>
    </row>
    <row r="38" customFormat="false" ht="15" hidden="false" customHeight="false" outlineLevel="0" collapsed="false">
      <c r="H38" s="14"/>
    </row>
    <row r="39" customFormat="false" ht="15" hidden="false" customHeight="false" outlineLevel="0" collapsed="false">
      <c r="H39" s="14"/>
    </row>
    <row r="40" customFormat="false" ht="15" hidden="false" customHeight="false" outlineLevel="0" collapsed="false">
      <c r="H40" s="14"/>
    </row>
    <row r="41" customFormat="false" ht="15" hidden="false" customHeight="false" outlineLevel="0" collapsed="false">
      <c r="H41" s="14"/>
    </row>
    <row r="42" customFormat="false" ht="15" hidden="false" customHeight="false" outlineLevel="0" collapsed="false">
      <c r="H42" s="14"/>
    </row>
    <row r="43" customFormat="false" ht="15" hidden="false" customHeight="false" outlineLevel="0" collapsed="false">
      <c r="H43" s="14"/>
    </row>
    <row r="44" customFormat="false" ht="15" hidden="false" customHeight="false" outlineLevel="0" collapsed="false">
      <c r="H44" s="14"/>
    </row>
    <row r="45" customFormat="false" ht="15" hidden="false" customHeight="false" outlineLevel="0" collapsed="false">
      <c r="H45" s="14"/>
    </row>
    <row r="46" customFormat="false" ht="15" hidden="false" customHeight="false" outlineLevel="0" collapsed="false">
      <c r="H46" s="14"/>
    </row>
    <row r="47" customFormat="false" ht="15" hidden="false" customHeight="false" outlineLevel="0" collapsed="false">
      <c r="H47" s="14"/>
    </row>
    <row r="48" customFormat="false" ht="15" hidden="false" customHeight="false" outlineLevel="0" collapsed="false">
      <c r="H48" s="14"/>
    </row>
    <row r="49" customFormat="false" ht="15" hidden="false" customHeight="false" outlineLevel="0" collapsed="false">
      <c r="H49" s="14"/>
    </row>
    <row r="50" customFormat="false" ht="15" hidden="false" customHeight="false" outlineLevel="0" collapsed="false">
      <c r="H50" s="14"/>
    </row>
    <row r="51" customFormat="false" ht="15" hidden="false" customHeight="false" outlineLevel="0" collapsed="false">
      <c r="H51" s="14"/>
    </row>
    <row r="52" customFormat="false" ht="15" hidden="false" customHeight="false" outlineLevel="0" collapsed="false">
      <c r="H52" s="14"/>
    </row>
    <row r="53" customFormat="false" ht="15" hidden="false" customHeight="false" outlineLevel="0" collapsed="false">
      <c r="H53" s="14"/>
    </row>
    <row r="54" customFormat="false" ht="15" hidden="false" customHeight="false" outlineLevel="0" collapsed="false">
      <c r="H54" s="14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9" t="s">
        <v>98</v>
      </c>
      <c r="C2" s="9"/>
      <c r="D2" s="9"/>
      <c r="E2" s="9"/>
      <c r="F2" s="9"/>
      <c r="G2" s="9"/>
      <c r="H2" s="9"/>
      <c r="I2" s="9"/>
      <c r="J2" s="9"/>
    </row>
    <row r="4" customFormat="false" ht="15" hidden="false" customHeight="false" outlineLevel="0" collapsed="false">
      <c r="B4" s="13" t="s">
        <v>99</v>
      </c>
      <c r="C4" s="13" t="s">
        <v>100</v>
      </c>
      <c r="D4" s="13" t="s">
        <v>101</v>
      </c>
      <c r="E4" s="13" t="s">
        <v>102</v>
      </c>
      <c r="F4" s="13" t="s">
        <v>103</v>
      </c>
      <c r="G4" s="13" t="s">
        <v>38</v>
      </c>
      <c r="H4" s="13" t="s">
        <v>104</v>
      </c>
      <c r="I4" s="13" t="s">
        <v>105</v>
      </c>
      <c r="J4" s="13" t="s">
        <v>40</v>
      </c>
    </row>
    <row r="5" customFormat="false" ht="15" hidden="false" customHeight="false" outlineLevel="0" collapsed="false">
      <c r="B5" s="0" t="s">
        <v>106</v>
      </c>
      <c r="C5" s="0" t="s">
        <v>107</v>
      </c>
      <c r="D5" s="0" t="s">
        <v>108</v>
      </c>
      <c r="J5" s="14" t="s">
        <v>109</v>
      </c>
    </row>
    <row r="6" customFormat="false" ht="15" hidden="false" customHeight="false" outlineLevel="0" collapsed="false">
      <c r="B6" s="0" t="s">
        <v>110</v>
      </c>
      <c r="C6" s="0" t="s">
        <v>111</v>
      </c>
      <c r="D6" s="0" t="s">
        <v>112</v>
      </c>
      <c r="J6" s="14" t="s">
        <v>109</v>
      </c>
    </row>
    <row r="7" customFormat="false" ht="15" hidden="false" customHeight="false" outlineLevel="0" collapsed="false">
      <c r="B7" s="0" t="s">
        <v>113</v>
      </c>
      <c r="C7" s="0" t="s">
        <v>114</v>
      </c>
      <c r="D7" s="0" t="s">
        <v>115</v>
      </c>
      <c r="J7" s="14" t="s">
        <v>109</v>
      </c>
    </row>
    <row r="8" customFormat="false" ht="15" hidden="false" customHeight="false" outlineLevel="0" collapsed="false">
      <c r="B8" s="0" t="s">
        <v>116</v>
      </c>
      <c r="C8" s="0" t="s">
        <v>117</v>
      </c>
      <c r="D8" s="0" t="s">
        <v>118</v>
      </c>
      <c r="J8" s="14" t="s">
        <v>109</v>
      </c>
    </row>
    <row r="9" customFormat="false" ht="15" hidden="false" customHeight="false" outlineLevel="0" collapsed="false">
      <c r="J9" s="14"/>
    </row>
    <row r="10" customFormat="false" ht="15" hidden="false" customHeight="false" outlineLevel="0" collapsed="false">
      <c r="J10" s="14"/>
    </row>
    <row r="11" customFormat="false" ht="15" hidden="false" customHeight="false" outlineLevel="0" collapsed="false">
      <c r="J11" s="14"/>
    </row>
    <row r="12" customFormat="false" ht="15" hidden="false" customHeight="false" outlineLevel="0" collapsed="false">
      <c r="J12" s="14"/>
    </row>
    <row r="13" customFormat="false" ht="15" hidden="false" customHeight="false" outlineLevel="0" collapsed="false">
      <c r="J13" s="14"/>
    </row>
    <row r="14" customFormat="false" ht="15" hidden="false" customHeight="false" outlineLevel="0" collapsed="false">
      <c r="J14" s="14"/>
    </row>
    <row r="15" customFormat="false" ht="15" hidden="false" customHeight="false" outlineLevel="0" collapsed="false">
      <c r="J15" s="14"/>
    </row>
    <row r="16" customFormat="false" ht="15" hidden="false" customHeight="false" outlineLevel="0" collapsed="false">
      <c r="J16" s="14"/>
    </row>
    <row r="17" customFormat="false" ht="15" hidden="false" customHeight="false" outlineLevel="0" collapsed="false">
      <c r="J17" s="14"/>
    </row>
    <row r="18" customFormat="false" ht="15" hidden="false" customHeight="false" outlineLevel="0" collapsed="false">
      <c r="J18" s="14"/>
    </row>
    <row r="19" customFormat="false" ht="15" hidden="false" customHeight="false" outlineLevel="0" collapsed="false">
      <c r="J19" s="14"/>
    </row>
    <row r="20" customFormat="false" ht="15" hidden="false" customHeight="false" outlineLevel="0" collapsed="false">
      <c r="J20" s="14"/>
    </row>
    <row r="21" customFormat="false" ht="15" hidden="false" customHeight="false" outlineLevel="0" collapsed="false">
      <c r="J21" s="14"/>
    </row>
    <row r="22" customFormat="false" ht="15" hidden="false" customHeight="false" outlineLevel="0" collapsed="false">
      <c r="J22" s="14"/>
    </row>
    <row r="23" customFormat="false" ht="15" hidden="false" customHeight="false" outlineLevel="0" collapsed="false">
      <c r="J23" s="14"/>
    </row>
    <row r="24" customFormat="false" ht="15" hidden="false" customHeight="false" outlineLevel="0" collapsed="false">
      <c r="J24" s="14"/>
    </row>
    <row r="25" customFormat="false" ht="15" hidden="false" customHeight="false" outlineLevel="0" collapsed="false">
      <c r="J25" s="14"/>
    </row>
    <row r="26" customFormat="false" ht="15" hidden="false" customHeight="false" outlineLevel="0" collapsed="false">
      <c r="J26" s="14"/>
    </row>
    <row r="27" customFormat="false" ht="15" hidden="false" customHeight="false" outlineLevel="0" collapsed="false">
      <c r="J27" s="14"/>
    </row>
    <row r="28" customFormat="false" ht="15" hidden="false" customHeight="false" outlineLevel="0" collapsed="false">
      <c r="J28" s="14"/>
    </row>
    <row r="29" customFormat="false" ht="15" hidden="false" customHeight="false" outlineLevel="0" collapsed="false">
      <c r="J29" s="14"/>
    </row>
    <row r="30" customFormat="false" ht="15" hidden="false" customHeight="false" outlineLevel="0" collapsed="false">
      <c r="J30" s="14"/>
    </row>
    <row r="31" customFormat="false" ht="15" hidden="false" customHeight="false" outlineLevel="0" collapsed="false">
      <c r="J31" s="14"/>
    </row>
    <row r="32" customFormat="false" ht="15" hidden="false" customHeight="false" outlineLevel="0" collapsed="false">
      <c r="J32" s="14"/>
    </row>
    <row r="33" customFormat="false" ht="15" hidden="false" customHeight="false" outlineLevel="0" collapsed="false">
      <c r="J33" s="14"/>
    </row>
    <row r="34" customFormat="false" ht="15" hidden="false" customHeight="false" outlineLevel="0" collapsed="false">
      <c r="J34" s="14"/>
    </row>
    <row r="35" customFormat="false" ht="15" hidden="false" customHeight="false" outlineLevel="0" collapsed="false">
      <c r="J35" s="14"/>
    </row>
    <row r="36" customFormat="false" ht="15" hidden="false" customHeight="false" outlineLevel="0" collapsed="false">
      <c r="J36" s="14"/>
    </row>
    <row r="37" customFormat="false" ht="15" hidden="false" customHeight="false" outlineLevel="0" collapsed="false">
      <c r="J37" s="14"/>
    </row>
    <row r="38" customFormat="false" ht="15" hidden="false" customHeight="false" outlineLevel="0" collapsed="false">
      <c r="J38" s="14"/>
    </row>
    <row r="39" customFormat="false" ht="15" hidden="false" customHeight="false" outlineLevel="0" collapsed="false">
      <c r="J39" s="14"/>
    </row>
    <row r="40" customFormat="false" ht="15" hidden="false" customHeight="false" outlineLevel="0" collapsed="false">
      <c r="J40" s="14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7" min="3" style="0" width="14"/>
    <col collapsed="false" customWidth="true" hidden="false" outlineLevel="0" max="8" min="8" style="0" width="40"/>
  </cols>
  <sheetData>
    <row r="2" customFormat="false" ht="19.7" hidden="false" customHeight="false" outlineLevel="0" collapsed="false">
      <c r="B2" s="1" t="s">
        <v>119</v>
      </c>
    </row>
    <row r="4" customFormat="false" ht="15" hidden="false" customHeight="false" outlineLevel="0" collapsed="false">
      <c r="A4" s="15"/>
      <c r="B4" s="15" t="s">
        <v>120</v>
      </c>
      <c r="C4" s="15" t="s">
        <v>121</v>
      </c>
      <c r="D4" s="15" t="s">
        <v>122</v>
      </c>
      <c r="E4" s="15" t="s">
        <v>123</v>
      </c>
      <c r="F4" s="15" t="s">
        <v>124</v>
      </c>
      <c r="G4" s="15" t="s">
        <v>125</v>
      </c>
      <c r="H4" s="15" t="s">
        <v>126</v>
      </c>
    </row>
    <row r="5" customFormat="false" ht="15" hidden="false" customHeight="false" outlineLevel="0" collapsed="false">
      <c r="B5" s="5" t="s">
        <v>127</v>
      </c>
      <c r="C5" s="16" t="n">
        <v>0</v>
      </c>
      <c r="D5" s="16" t="n">
        <v>0</v>
      </c>
      <c r="E5" s="16" t="n">
        <v>0</v>
      </c>
      <c r="F5" s="16" t="n">
        <v>0</v>
      </c>
      <c r="G5" s="16" t="n">
        <v>0</v>
      </c>
      <c r="H5" s="17" t="s">
        <v>128</v>
      </c>
    </row>
    <row r="6" customFormat="false" ht="15" hidden="false" customHeight="false" outlineLevel="0" collapsed="false">
      <c r="B6" s="5" t="s">
        <v>129</v>
      </c>
      <c r="C6" s="16" t="n">
        <v>0</v>
      </c>
      <c r="D6" s="16" t="n">
        <v>0</v>
      </c>
      <c r="E6" s="16" t="n">
        <v>0</v>
      </c>
      <c r="F6" s="16" t="n">
        <v>0</v>
      </c>
      <c r="G6" s="16" t="n">
        <v>0</v>
      </c>
      <c r="H6" s="17" t="s">
        <v>128</v>
      </c>
    </row>
    <row r="7" customFormat="false" ht="15" hidden="false" customHeight="false" outlineLevel="0" collapsed="false">
      <c r="B7" s="5" t="s">
        <v>130</v>
      </c>
      <c r="C7" s="16" t="n">
        <v>0</v>
      </c>
      <c r="D7" s="16" t="n">
        <v>0</v>
      </c>
      <c r="E7" s="16" t="n">
        <v>0</v>
      </c>
      <c r="F7" s="16" t="n">
        <v>0</v>
      </c>
      <c r="G7" s="16" t="n">
        <v>0</v>
      </c>
      <c r="H7" s="17" t="s">
        <v>128</v>
      </c>
    </row>
    <row r="8" customFormat="false" ht="15" hidden="false" customHeight="false" outlineLevel="0" collapsed="false">
      <c r="B8" s="5" t="s">
        <v>131</v>
      </c>
      <c r="C8" s="16" t="n">
        <v>0</v>
      </c>
      <c r="D8" s="16" t="n">
        <v>0</v>
      </c>
      <c r="E8" s="16" t="n">
        <v>0</v>
      </c>
      <c r="F8" s="16" t="n">
        <v>0</v>
      </c>
      <c r="G8" s="16" t="n">
        <v>0</v>
      </c>
      <c r="H8" s="17" t="s">
        <v>128</v>
      </c>
    </row>
    <row r="9" customFormat="false" ht="15" hidden="false" customHeight="false" outlineLevel="0" collapsed="false">
      <c r="B9" s="5" t="s">
        <v>132</v>
      </c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7" t="s">
        <v>128</v>
      </c>
    </row>
    <row r="10" customFormat="false" ht="15" hidden="false" customHeight="false" outlineLevel="0" collapsed="false">
      <c r="B10" s="5" t="s">
        <v>133</v>
      </c>
      <c r="C10" s="18" t="n">
        <v>0</v>
      </c>
      <c r="D10" s="18" t="n">
        <v>0</v>
      </c>
      <c r="E10" s="18" t="n">
        <v>0</v>
      </c>
      <c r="F10" s="18" t="n">
        <v>0</v>
      </c>
      <c r="G10" s="18" t="n">
        <v>0</v>
      </c>
      <c r="H10" s="17" t="s">
        <v>128</v>
      </c>
    </row>
    <row r="11" customFormat="false" ht="15" hidden="false" customHeight="false" outlineLevel="0" collapsed="false">
      <c r="B11" s="5" t="s">
        <v>134</v>
      </c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7" t="s">
        <v>128</v>
      </c>
    </row>
    <row r="12" customFormat="false" ht="15" hidden="false" customHeight="false" outlineLevel="0" collapsed="false">
      <c r="B12" s="5" t="s">
        <v>135</v>
      </c>
      <c r="C12" s="19" t="n">
        <f aca="false">'Cap Table &amp; Dilution'!E19</f>
        <v>470</v>
      </c>
      <c r="D12" s="19" t="n">
        <f aca="false">'Cap Table &amp; Dilution'!E19</f>
        <v>470</v>
      </c>
      <c r="E12" s="19" t="n">
        <f aca="false">'Cap Table &amp; Dilution'!E19</f>
        <v>470</v>
      </c>
      <c r="F12" s="19" t="n">
        <f aca="false">'Cap Table &amp; Dilution'!E19</f>
        <v>470</v>
      </c>
      <c r="G12" s="19" t="n">
        <f aca="false">'Cap Table &amp; Dilution'!E19</f>
        <v>470</v>
      </c>
      <c r="H12" s="17" t="s">
        <v>128</v>
      </c>
    </row>
    <row r="13" customFormat="false" ht="15" hidden="false" customHeight="false" outlineLevel="0" collapsed="false">
      <c r="B13" s="5" t="s">
        <v>136</v>
      </c>
      <c r="C13" s="16" t="n">
        <v>0</v>
      </c>
      <c r="D13" s="16" t="n">
        <v>0</v>
      </c>
      <c r="E13" s="16" t="n">
        <v>0</v>
      </c>
      <c r="F13" s="16" t="n">
        <v>0</v>
      </c>
      <c r="G13" s="16" t="n">
        <v>0</v>
      </c>
      <c r="H13" s="17" t="s">
        <v>128</v>
      </c>
    </row>
    <row r="14" customFormat="false" ht="15" hidden="false" customHeight="false" outlineLevel="0" collapsed="false">
      <c r="B14" s="5" t="s">
        <v>137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7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5" min="3" style="0" width="18"/>
    <col collapsed="false" customWidth="true" hidden="false" outlineLevel="0" max="6" min="6" style="0" width="46"/>
  </cols>
  <sheetData>
    <row r="2" customFormat="false" ht="19.7" hidden="false" customHeight="false" outlineLevel="0" collapsed="false">
      <c r="B2" s="1" t="s">
        <v>138</v>
      </c>
    </row>
    <row r="3" customFormat="false" ht="15" hidden="false" customHeight="false" outlineLevel="0" collapsed="false">
      <c r="B3" s="0" t="s">
        <v>139</v>
      </c>
      <c r="C3" s="20" t="s">
        <v>140</v>
      </c>
    </row>
    <row r="4" customFormat="false" ht="15" hidden="false" customHeight="false" outlineLevel="0" collapsed="false">
      <c r="B4" s="15" t="s">
        <v>141</v>
      </c>
      <c r="C4" s="15" t="s">
        <v>142</v>
      </c>
      <c r="D4" s="15" t="s">
        <v>140</v>
      </c>
      <c r="E4" s="15" t="s">
        <v>143</v>
      </c>
      <c r="F4" s="15" t="s">
        <v>144</v>
      </c>
    </row>
    <row r="5" customFormat="false" ht="15" hidden="false" customHeight="false" outlineLevel="0" collapsed="false">
      <c r="B5" s="0" t="s">
        <v>145</v>
      </c>
      <c r="C5" s="21" t="n">
        <v>100</v>
      </c>
      <c r="D5" s="21" t="n">
        <v>100</v>
      </c>
      <c r="E5" s="22" t="n">
        <f aca="false">IF($C$3="Adversarial",D5,C5)</f>
        <v>100</v>
      </c>
      <c r="F5" s="14" t="s">
        <v>146</v>
      </c>
    </row>
    <row r="6" customFormat="false" ht="15" hidden="false" customHeight="false" outlineLevel="0" collapsed="false">
      <c r="B6" s="0" t="s">
        <v>147</v>
      </c>
      <c r="C6" s="21" t="n">
        <v>5</v>
      </c>
      <c r="D6" s="21" t="n">
        <v>20</v>
      </c>
      <c r="E6" s="22" t="n">
        <f aca="false">IF($C$3="Adversarial",D6,C6)</f>
        <v>20</v>
      </c>
      <c r="F6" s="14" t="s">
        <v>148</v>
      </c>
    </row>
    <row r="7" customFormat="false" ht="15" hidden="false" customHeight="false" outlineLevel="0" collapsed="false">
      <c r="B7" s="0" t="s">
        <v>149</v>
      </c>
      <c r="C7" s="21" t="n">
        <v>20</v>
      </c>
      <c r="D7" s="21" t="n">
        <v>150</v>
      </c>
      <c r="E7" s="22" t="n">
        <f aca="false">IF($C$3="Adversarial",D7,C7)</f>
        <v>150</v>
      </c>
      <c r="F7" s="14" t="s">
        <v>150</v>
      </c>
    </row>
    <row r="8" customFormat="false" ht="15" hidden="false" customHeight="false" outlineLevel="0" collapsed="false">
      <c r="B8" s="0" t="s">
        <v>151</v>
      </c>
      <c r="C8" s="21" t="n">
        <v>25</v>
      </c>
      <c r="D8" s="21" t="n">
        <v>100</v>
      </c>
      <c r="E8" s="22" t="n">
        <f aca="false">IF($C$3="Adversarial",D8,C8)</f>
        <v>100</v>
      </c>
      <c r="F8" s="14" t="s">
        <v>152</v>
      </c>
    </row>
    <row r="9" customFormat="false" ht="15" hidden="false" customHeight="false" outlineLevel="0" collapsed="false">
      <c r="B9" s="0" t="s">
        <v>153</v>
      </c>
      <c r="C9" s="23" t="n">
        <v>100</v>
      </c>
      <c r="D9" s="23" t="n">
        <v>500</v>
      </c>
      <c r="E9" s="24" t="n">
        <f aca="false">IF($C$3="Adversarial",D9,C9)</f>
        <v>500</v>
      </c>
      <c r="F9" s="14" t="s">
        <v>154</v>
      </c>
    </row>
    <row r="10" customFormat="false" ht="15" hidden="false" customHeight="false" outlineLevel="0" collapsed="false">
      <c r="B10" s="0" t="s">
        <v>155</v>
      </c>
      <c r="C10" s="25" t="n">
        <v>10</v>
      </c>
      <c r="D10" s="25" t="n">
        <v>5</v>
      </c>
      <c r="E10" s="26" t="n">
        <f aca="false">IF($C$3="Adversarial",D10,C10)</f>
        <v>5</v>
      </c>
      <c r="F10" s="14" t="s">
        <v>156</v>
      </c>
    </row>
    <row r="11" customFormat="false" ht="15" hidden="false" customHeight="false" outlineLevel="0" collapsed="false">
      <c r="B11" s="0" t="s">
        <v>157</v>
      </c>
      <c r="C11" s="25" t="n">
        <v>11</v>
      </c>
      <c r="D11" s="25" t="n">
        <v>4</v>
      </c>
      <c r="E11" s="26" t="n">
        <f aca="false">IF($C$3="Adversarial",D11,C11)</f>
        <v>4</v>
      </c>
      <c r="F11" s="14" t="s">
        <v>158</v>
      </c>
    </row>
    <row r="12" customFormat="false" ht="15" hidden="false" customHeight="false" outlineLevel="0" collapsed="false">
      <c r="B12" s="0" t="s">
        <v>159</v>
      </c>
      <c r="C12" s="23" t="n">
        <v>5</v>
      </c>
      <c r="D12" s="23" t="n">
        <v>20</v>
      </c>
      <c r="E12" s="24" t="n">
        <f aca="false">IF($C$3="Adversarial",D12,C12)</f>
        <v>20</v>
      </c>
      <c r="F12" s="14" t="s">
        <v>160</v>
      </c>
    </row>
    <row r="13" customFormat="false" ht="15" hidden="false" customHeight="false" outlineLevel="0" collapsed="false">
      <c r="B13" s="0" t="s">
        <v>161</v>
      </c>
      <c r="C13" s="16" t="n">
        <v>0.35</v>
      </c>
      <c r="D13" s="16" t="n">
        <v>0.35</v>
      </c>
      <c r="E13" s="27" t="n">
        <f aca="false">IF($C$3="Adversarial",D13,C13)</f>
        <v>0.35</v>
      </c>
      <c r="F13" s="14" t="s">
        <v>162</v>
      </c>
    </row>
    <row r="14" customFormat="false" ht="15" hidden="false" customHeight="false" outlineLevel="0" collapsed="false">
      <c r="B14" s="0" t="s">
        <v>163</v>
      </c>
      <c r="C14" s="16" t="n">
        <v>0.1</v>
      </c>
      <c r="D14" s="16" t="n">
        <v>0.1</v>
      </c>
      <c r="E14" s="27" t="n">
        <f aca="false">IF($C$3="Adversarial",D14,C14)</f>
        <v>0.1</v>
      </c>
      <c r="F14" s="14" t="s">
        <v>164</v>
      </c>
    </row>
    <row r="17" customFormat="false" ht="15" hidden="false" customHeight="false" outlineLevel="0" collapsed="false">
      <c r="B17" s="28" t="s">
        <v>165</v>
      </c>
    </row>
    <row r="18" customFormat="false" ht="15" hidden="false" customHeight="false" outlineLevel="0" collapsed="false">
      <c r="B18" s="0" t="s">
        <v>166</v>
      </c>
      <c r="E18" s="22" t="n">
        <f aca="false">IFERROR(E9/E10,0)</f>
        <v>100</v>
      </c>
    </row>
    <row r="19" customFormat="false" ht="15" hidden="false" customHeight="false" outlineLevel="0" collapsed="false">
      <c r="B19" s="0" t="s">
        <v>167</v>
      </c>
      <c r="E19" s="22" t="n">
        <f aca="false">SUM(E5:E8)+E18</f>
        <v>470</v>
      </c>
    </row>
    <row r="20" customFormat="false" ht="15" hidden="false" customHeight="false" outlineLevel="0" collapsed="false">
      <c r="B20" s="0" t="s">
        <v>168</v>
      </c>
      <c r="E20" s="27" t="n">
        <f aca="false">IFERROR(E5/E19,0)</f>
        <v>0.212765957446809</v>
      </c>
    </row>
    <row r="21" customFormat="false" ht="15" hidden="false" customHeight="false" outlineLevel="0" collapsed="false">
      <c r="B21" s="0" t="s">
        <v>169</v>
      </c>
      <c r="E21" s="27" t="n">
        <f aca="false">1-E20</f>
        <v>0.787234042553192</v>
      </c>
    </row>
    <row r="22" customFormat="false" ht="15" hidden="false" customHeight="false" outlineLevel="0" collapsed="false">
      <c r="B22" s="0" t="s">
        <v>170</v>
      </c>
      <c r="E22" s="27" t="n">
        <f aca="false">IFERROR(E6/E19,0)</f>
        <v>0.0425531914893617</v>
      </c>
    </row>
    <row r="23" customFormat="false" ht="15" hidden="false" customHeight="false" outlineLevel="0" collapsed="false">
      <c r="B23" s="0" t="s">
        <v>171</v>
      </c>
      <c r="E23" s="24" t="n">
        <f aca="false">E7*E11</f>
        <v>600</v>
      </c>
    </row>
    <row r="24" customFormat="false" ht="15" hidden="false" customHeight="false" outlineLevel="0" collapsed="false">
      <c r="B24" s="0" t="s">
        <v>172</v>
      </c>
      <c r="E24" s="24" t="n">
        <f aca="false">E23-E12</f>
        <v>580</v>
      </c>
    </row>
    <row r="25" customFormat="false" ht="15" hidden="false" customHeight="false" outlineLevel="0" collapsed="false">
      <c r="B25" s="0" t="s">
        <v>173</v>
      </c>
      <c r="E25" s="22" t="n">
        <f aca="false">E19-E5-E6-E7-E8-E18</f>
        <v>0</v>
      </c>
    </row>
    <row r="27" customFormat="false" ht="15" hidden="false" customHeight="false" outlineLevel="0" collapsed="false">
      <c r="B27" s="29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6"/>
  </cols>
  <sheetData>
    <row r="2" customFormat="false" ht="19.7" hidden="false" customHeight="false" outlineLevel="0" collapsed="false">
      <c r="B2" s="1" t="s">
        <v>175</v>
      </c>
    </row>
    <row r="4" customFormat="false" ht="15" hidden="false" customHeight="false" outlineLevel="0" collapsed="false">
      <c r="B4" s="15" t="s">
        <v>141</v>
      </c>
      <c r="C4" s="15" t="s">
        <v>142</v>
      </c>
      <c r="D4" s="15" t="s">
        <v>140</v>
      </c>
      <c r="E4" s="15" t="s">
        <v>176</v>
      </c>
    </row>
    <row r="5" customFormat="false" ht="15" hidden="false" customHeight="false" outlineLevel="0" collapsed="false">
      <c r="B5" s="0" t="s">
        <v>177</v>
      </c>
      <c r="C5" s="22" t="n">
        <f aca="false">'Cap Table &amp; Dilution'!C5</f>
        <v>100</v>
      </c>
      <c r="D5" s="22" t="n">
        <f aca="false">'Cap Table &amp; Dilution'!D5</f>
        <v>100</v>
      </c>
      <c r="E5" s="14" t="s">
        <v>178</v>
      </c>
    </row>
    <row r="6" customFormat="false" ht="15" hidden="false" customHeight="false" outlineLevel="0" collapsed="false">
      <c r="B6" s="0" t="s">
        <v>179</v>
      </c>
      <c r="C6" s="22" t="n">
        <f aca="false">'Cap Table &amp; Dilution'!C8</f>
        <v>25</v>
      </c>
      <c r="D6" s="22" t="n">
        <f aca="false">'Cap Table &amp; Dilution'!D8</f>
        <v>100</v>
      </c>
      <c r="E6" s="14" t="s">
        <v>180</v>
      </c>
    </row>
    <row r="7" customFormat="false" ht="15" hidden="false" customHeight="false" outlineLevel="0" collapsed="false">
      <c r="B7" s="0" t="s">
        <v>181</v>
      </c>
      <c r="C7" s="25" t="n">
        <v>12</v>
      </c>
      <c r="D7" s="25" t="n">
        <v>10</v>
      </c>
      <c r="E7" s="14" t="s">
        <v>182</v>
      </c>
    </row>
    <row r="8" customFormat="false" ht="15" hidden="false" customHeight="false" outlineLevel="0" collapsed="false">
      <c r="B8" s="0" t="s">
        <v>183</v>
      </c>
      <c r="C8" s="25" t="n">
        <v>9</v>
      </c>
      <c r="D8" s="25" t="n">
        <v>3</v>
      </c>
      <c r="E8" s="14" t="s">
        <v>184</v>
      </c>
    </row>
    <row r="9" customFormat="false" ht="15" hidden="false" customHeight="false" outlineLevel="0" collapsed="false">
      <c r="B9" s="0" t="s">
        <v>185</v>
      </c>
      <c r="C9" s="16" t="n">
        <v>0.9</v>
      </c>
      <c r="D9" s="16" t="n">
        <v>0.45</v>
      </c>
      <c r="E9" s="14" t="s">
        <v>186</v>
      </c>
    </row>
    <row r="10" customFormat="false" ht="15" hidden="false" customHeight="false" outlineLevel="0" collapsed="false">
      <c r="B10" s="0" t="s">
        <v>187</v>
      </c>
      <c r="C10" s="16" t="n">
        <v>0.02</v>
      </c>
      <c r="D10" s="16" t="n">
        <v>0.08</v>
      </c>
      <c r="E10" s="14" t="s">
        <v>188</v>
      </c>
    </row>
    <row r="13" customFormat="false" ht="15" hidden="false" customHeight="false" outlineLevel="0" collapsed="false">
      <c r="B13" s="0" t="s">
        <v>189</v>
      </c>
      <c r="C13" s="24" t="n">
        <f aca="false">IFERROR((C5*C7+C6*C8)/(C5+C6),0)</f>
        <v>11.4</v>
      </c>
      <c r="D13" s="24" t="n">
        <f aca="false">IFERROR((D5*D7+D6*D8)/(D5+D6),0)</f>
        <v>6.5</v>
      </c>
    </row>
    <row r="14" customFormat="false" ht="15" hidden="false" customHeight="false" outlineLevel="0" collapsed="false">
      <c r="B14" s="0" t="s">
        <v>190</v>
      </c>
      <c r="C14" s="24" t="n">
        <f aca="false">C7-C13</f>
        <v>0.6</v>
      </c>
      <c r="D14" s="24" t="n">
        <f aca="false">D7-D13</f>
        <v>3.5</v>
      </c>
    </row>
    <row r="15" customFormat="false" ht="15" hidden="false" customHeight="false" outlineLevel="0" collapsed="false">
      <c r="B15" s="0" t="s">
        <v>191</v>
      </c>
      <c r="C15" s="27" t="n">
        <f aca="false">IFERROR(1-C8/C7,0)</f>
        <v>0.25</v>
      </c>
      <c r="D15" s="27" t="n">
        <f aca="false">IFERROR(1-D8/D7,0)</f>
        <v>0.7</v>
      </c>
    </row>
    <row r="16" customFormat="false" ht="15" hidden="false" customHeight="false" outlineLevel="0" collapsed="false">
      <c r="B16" s="0" t="s">
        <v>192</v>
      </c>
      <c r="C16" s="22" t="n">
        <f aca="false">C6*C9</f>
        <v>22.5</v>
      </c>
      <c r="D16" s="22" t="n">
        <f aca="false">D6*D9</f>
        <v>45</v>
      </c>
    </row>
    <row r="17" customFormat="false" ht="15" hidden="false" customHeight="false" outlineLevel="0" collapsed="false">
      <c r="B17" s="0" t="s">
        <v>193</v>
      </c>
      <c r="C17" s="24" t="n">
        <f aca="false">C16*C8</f>
        <v>202.5</v>
      </c>
      <c r="D17" s="24" t="n">
        <f aca="false">D16*D8</f>
        <v>135</v>
      </c>
    </row>
    <row r="18" customFormat="false" ht="15" hidden="false" customHeight="false" outlineLevel="0" collapsed="false">
      <c r="B18" s="0" t="s">
        <v>194</v>
      </c>
      <c r="C18" s="24" t="n">
        <f aca="false">(C6-C16)*C8*C10</f>
        <v>0.45</v>
      </c>
      <c r="D18" s="24" t="n">
        <f aca="false">(D6-D16)*D8*D10</f>
        <v>13.2</v>
      </c>
    </row>
    <row r="19" customFormat="false" ht="15" hidden="false" customHeight="false" outlineLevel="0" collapsed="false">
      <c r="B19" s="0" t="s">
        <v>195</v>
      </c>
      <c r="C19" s="24" t="n">
        <f aca="false">C17-C18</f>
        <v>202.05</v>
      </c>
      <c r="D19" s="24" t="n">
        <f aca="false">D17-D18</f>
        <v>121.8</v>
      </c>
    </row>
    <row r="21" customFormat="false" ht="15" hidden="false" customHeight="false" outlineLevel="0" collapsed="false">
      <c r="B21" s="29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6"/>
  </cols>
  <sheetData>
    <row r="2" customFormat="false" ht="19.7" hidden="false" customHeight="false" outlineLevel="0" collapsed="false">
      <c r="B2" s="1" t="s">
        <v>197</v>
      </c>
    </row>
    <row r="4" customFormat="false" ht="15" hidden="false" customHeight="false" outlineLevel="0" collapsed="false">
      <c r="B4" s="15" t="s">
        <v>141</v>
      </c>
      <c r="C4" s="15" t="s">
        <v>142</v>
      </c>
      <c r="D4" s="15" t="s">
        <v>140</v>
      </c>
      <c r="E4" s="15" t="s">
        <v>176</v>
      </c>
    </row>
    <row r="5" customFormat="false" ht="15" hidden="false" customHeight="false" outlineLevel="0" collapsed="false">
      <c r="B5" s="0" t="s">
        <v>198</v>
      </c>
      <c r="C5" s="24" t="n">
        <f aca="false">'Cap Table &amp; Dilution'!C9</f>
        <v>100</v>
      </c>
      <c r="D5" s="24" t="n">
        <f aca="false">'Cap Table &amp; Dilution'!D9</f>
        <v>500</v>
      </c>
      <c r="E5" s="14" t="s">
        <v>199</v>
      </c>
    </row>
    <row r="6" customFormat="false" ht="15" hidden="false" customHeight="false" outlineLevel="0" collapsed="false">
      <c r="B6" s="0" t="s">
        <v>155</v>
      </c>
      <c r="C6" s="26" t="n">
        <f aca="false">'Cap Table &amp; Dilution'!C10</f>
        <v>10</v>
      </c>
      <c r="D6" s="26" t="n">
        <f aca="false">'Cap Table &amp; Dilution'!D10</f>
        <v>5</v>
      </c>
      <c r="E6" s="14" t="s">
        <v>200</v>
      </c>
    </row>
    <row r="7" customFormat="false" ht="15" hidden="false" customHeight="false" outlineLevel="0" collapsed="false">
      <c r="B7" s="0" t="s">
        <v>201</v>
      </c>
      <c r="C7" s="25" t="n">
        <v>12</v>
      </c>
      <c r="D7" s="25" t="n">
        <v>4</v>
      </c>
      <c r="E7" s="14" t="s">
        <v>202</v>
      </c>
    </row>
    <row r="8" customFormat="false" ht="15" hidden="false" customHeight="false" outlineLevel="0" collapsed="false">
      <c r="B8" s="0" t="s">
        <v>203</v>
      </c>
      <c r="C8" s="16" t="n">
        <v>0.04</v>
      </c>
      <c r="D8" s="16" t="n">
        <v>0.08</v>
      </c>
      <c r="E8" s="14" t="s">
        <v>204</v>
      </c>
    </row>
    <row r="9" customFormat="false" ht="15" hidden="false" customHeight="false" outlineLevel="0" collapsed="false">
      <c r="B9" s="0" t="s">
        <v>205</v>
      </c>
      <c r="C9" s="30" t="n">
        <v>3</v>
      </c>
      <c r="D9" s="30" t="n">
        <v>1</v>
      </c>
      <c r="E9" s="14" t="s">
        <v>206</v>
      </c>
    </row>
    <row r="10" customFormat="false" ht="15" hidden="false" customHeight="false" outlineLevel="0" collapsed="false">
      <c r="B10" s="0" t="s">
        <v>207</v>
      </c>
      <c r="C10" s="16" t="n">
        <v>0.05</v>
      </c>
      <c r="D10" s="16" t="n">
        <v>0.15</v>
      </c>
      <c r="E10" s="14" t="s">
        <v>208</v>
      </c>
    </row>
    <row r="11" customFormat="false" ht="15" hidden="false" customHeight="false" outlineLevel="0" collapsed="false">
      <c r="B11" s="0" t="s">
        <v>209</v>
      </c>
      <c r="C11" s="25" t="n">
        <v>9.5</v>
      </c>
      <c r="D11" s="25" t="n">
        <v>3.5</v>
      </c>
      <c r="E11" s="14" t="s">
        <v>210</v>
      </c>
    </row>
    <row r="14" customFormat="false" ht="15" hidden="false" customHeight="false" outlineLevel="0" collapsed="false">
      <c r="B14" s="0" t="s">
        <v>211</v>
      </c>
      <c r="C14" s="22" t="n">
        <f aca="false">IFERROR(C5/C6,0)</f>
        <v>10</v>
      </c>
      <c r="D14" s="22" t="n">
        <f aca="false">IFERROR(D5/D6,0)</f>
        <v>100</v>
      </c>
    </row>
    <row r="15" customFormat="false" ht="15" hidden="false" customHeight="false" outlineLevel="0" collapsed="false">
      <c r="B15" s="0" t="s">
        <v>212</v>
      </c>
      <c r="C15" s="22" t="n">
        <f aca="false">IFERROR(C5/C11,0)</f>
        <v>10.5263157894737</v>
      </c>
      <c r="D15" s="22" t="n">
        <f aca="false">IFERROR(D5/D11,0)</f>
        <v>142.857142857143</v>
      </c>
    </row>
    <row r="16" customFormat="false" ht="15" hidden="false" customHeight="false" outlineLevel="0" collapsed="false">
      <c r="B16" s="0" t="s">
        <v>213</v>
      </c>
      <c r="C16" s="24" t="n">
        <f aca="false">C14*C7</f>
        <v>120</v>
      </c>
      <c r="D16" s="24" t="n">
        <f aca="false">D14*D7</f>
        <v>400</v>
      </c>
    </row>
    <row r="17" customFormat="false" ht="15" hidden="false" customHeight="false" outlineLevel="0" collapsed="false">
      <c r="B17" s="0" t="s">
        <v>214</v>
      </c>
      <c r="C17" s="24" t="n">
        <f aca="false">C5*(1+C10)</f>
        <v>105</v>
      </c>
      <c r="D17" s="24" t="n">
        <f aca="false">D5*(1+D10)</f>
        <v>575</v>
      </c>
    </row>
    <row r="18" customFormat="false" ht="15" hidden="false" customHeight="false" outlineLevel="0" collapsed="false">
      <c r="B18" s="0" t="s">
        <v>215</v>
      </c>
      <c r="C18" s="31" t="n">
        <f aca="false">IFERROR(C16/C5,0)</f>
        <v>1.2</v>
      </c>
      <c r="D18" s="31" t="n">
        <f aca="false">IFERROR(D16/D5,0)</f>
        <v>0.8</v>
      </c>
    </row>
    <row r="19" customFormat="false" ht="15" hidden="false" customHeight="false" outlineLevel="0" collapsed="false">
      <c r="B19" s="0" t="s">
        <v>216</v>
      </c>
      <c r="C19" s="22" t="n">
        <f aca="false">C15-C14</f>
        <v>0.526315789473685</v>
      </c>
      <c r="D19" s="22" t="n">
        <f aca="false">D15-D14</f>
        <v>42.8571428571429</v>
      </c>
    </row>
    <row r="20" customFormat="false" ht="15" hidden="false" customHeight="false" outlineLevel="0" collapsed="false">
      <c r="B20" s="0" t="s">
        <v>217</v>
      </c>
      <c r="C20" s="24" t="n">
        <f aca="false">C5*C8</f>
        <v>4</v>
      </c>
      <c r="D20" s="24" t="n">
        <f aca="false">D5*D8</f>
        <v>40</v>
      </c>
    </row>
    <row r="22" customFormat="false" ht="15" hidden="false" customHeight="false" outlineLevel="0" collapsed="false">
      <c r="B22" s="29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4" min="3" style="0" width="18"/>
    <col collapsed="false" customWidth="true" hidden="false" outlineLevel="0" max="5" min="5" style="0" width="52"/>
  </cols>
  <sheetData>
    <row r="2" customFormat="false" ht="19.7" hidden="false" customHeight="false" outlineLevel="0" collapsed="false">
      <c r="B2" s="1" t="s">
        <v>219</v>
      </c>
    </row>
    <row r="4" customFormat="false" ht="15" hidden="false" customHeight="false" outlineLevel="0" collapsed="false">
      <c r="B4" s="15" t="s">
        <v>220</v>
      </c>
      <c r="C4" s="15" t="s">
        <v>141</v>
      </c>
      <c r="D4" s="15" t="s">
        <v>40</v>
      </c>
      <c r="E4" s="15" t="s">
        <v>221</v>
      </c>
    </row>
    <row r="5" customFormat="false" ht="15" hidden="false" customHeight="false" outlineLevel="0" collapsed="false">
      <c r="B5" s="0" t="s">
        <v>173</v>
      </c>
      <c r="C5" s="22" t="n">
        <f aca="false">'Cap Table &amp; Dilution'!E25</f>
        <v>0</v>
      </c>
      <c r="D5" s="32" t="str">
        <f aca="false">IF(ABS(C5)&lt;0.000001,"PASS","FAIL")</f>
        <v>PASS</v>
      </c>
      <c r="E5" s="14" t="s">
        <v>222</v>
      </c>
    </row>
    <row r="6" customFormat="false" ht="15" hidden="false" customHeight="false" outlineLevel="0" collapsed="false">
      <c r="B6" s="0" t="s">
        <v>223</v>
      </c>
      <c r="C6" s="32" t="n">
        <f aca="false">'Cap Table &amp; Dilution'!E20+'Cap Table &amp; Dilution'!E21-1</f>
        <v>0</v>
      </c>
      <c r="D6" s="32" t="str">
        <f aca="false">IF(ABS(C6)&lt;0.000001,"PASS","FAIL")</f>
        <v>PASS</v>
      </c>
      <c r="E6" s="14" t="s">
        <v>224</v>
      </c>
    </row>
    <row r="7" customFormat="false" ht="15" hidden="false" customHeight="false" outlineLevel="0" collapsed="false">
      <c r="B7" s="0" t="s">
        <v>169</v>
      </c>
      <c r="C7" s="27" t="n">
        <f aca="false">'Cap Table &amp; Dilution'!E21</f>
        <v>0.787234042553192</v>
      </c>
      <c r="D7" s="32" t="str">
        <f aca="false">IF(C7&lt;='Cap Table &amp; Dilution'!E13,"PASS","BREACH")</f>
        <v>BREACH</v>
      </c>
      <c r="E7" s="14" t="s">
        <v>225</v>
      </c>
    </row>
    <row r="8" customFormat="false" ht="15" hidden="false" customHeight="false" outlineLevel="0" collapsed="false">
      <c r="B8" s="0" t="s">
        <v>170</v>
      </c>
      <c r="C8" s="27" t="n">
        <f aca="false">'Cap Table &amp; Dilution'!E22</f>
        <v>0.0425531914893617</v>
      </c>
      <c r="D8" s="32" t="str">
        <f aca="false">IF(C8&lt;='Cap Table &amp; Dilution'!E14,"PASS","REVIEW")</f>
        <v>PASS</v>
      </c>
      <c r="E8" s="14" t="s">
        <v>226</v>
      </c>
    </row>
    <row r="9" customFormat="false" ht="15" hidden="false" customHeight="false" outlineLevel="0" collapsed="false">
      <c r="B9" s="0" t="s">
        <v>172</v>
      </c>
      <c r="C9" s="24" t="n">
        <f aca="false">'Cap Table &amp; Dilution'!E24</f>
        <v>580</v>
      </c>
      <c r="D9" s="32" t="str">
        <f aca="false">IF(C9&gt;=0,"PASS","BREACH")</f>
        <v>PASS</v>
      </c>
      <c r="E9" s="14" t="s">
        <v>227</v>
      </c>
    </row>
    <row r="10" customFormat="false" ht="15" hidden="false" customHeight="false" outlineLevel="0" collapsed="false">
      <c r="B10" s="0" t="s">
        <v>228</v>
      </c>
      <c r="C10" s="32" t="n">
        <f aca="false">'Rights Offering'!C13-(('Rights Offering'!C5*'Rights Offering'!C7+'Rights Offering'!C6*'Rights Offering'!C8)/('Rights Offering'!C5+'Rights Offering'!C6))</f>
        <v>0</v>
      </c>
      <c r="D10" s="32" t="str">
        <f aca="false">IF(ABS(C10)&lt;0.000001,"PASS","FAIL")</f>
        <v>PASS</v>
      </c>
      <c r="E10" s="14" t="s">
        <v>229</v>
      </c>
    </row>
    <row r="11" customFormat="false" ht="15" hidden="false" customHeight="false" outlineLevel="0" collapsed="false">
      <c r="B11" s="0" t="s">
        <v>230</v>
      </c>
      <c r="C11" s="24" t="n">
        <f aca="false">'Rights Offering'!C14</f>
        <v>0.6</v>
      </c>
      <c r="D11" s="32" t="str">
        <f aca="false">IF(C11&gt;=0,"PASS","REVIEW")</f>
        <v>PASS</v>
      </c>
      <c r="E11" s="14" t="s">
        <v>231</v>
      </c>
    </row>
    <row r="12" customFormat="false" ht="15" hidden="false" customHeight="false" outlineLevel="0" collapsed="false">
      <c r="B12" s="0" t="s">
        <v>232</v>
      </c>
      <c r="C12" s="27" t="n">
        <f aca="false">'Rights Offering'!D9</f>
        <v>0.45</v>
      </c>
      <c r="D12" s="32" t="str">
        <f aca="false">IF(C12&gt;=0.75,"PASS",IF(C12&gt;=0.5,"REVIEW","BREACH"))</f>
        <v>BREACH</v>
      </c>
      <c r="E12" s="14" t="s">
        <v>233</v>
      </c>
    </row>
    <row r="13" customFormat="false" ht="15" hidden="false" customHeight="false" outlineLevel="0" collapsed="false">
      <c r="B13" s="0" t="s">
        <v>234</v>
      </c>
      <c r="C13" s="32" t="n">
        <f aca="false">'Convertible Securities'!C14-'Cap Table &amp; Dilution'!C18</f>
        <v>10</v>
      </c>
      <c r="D13" s="32" t="str">
        <f aca="false">IF(ABS(C13)&lt;0.000001,"PASS","FAIL")</f>
        <v>FAIL</v>
      </c>
      <c r="E13" s="14" t="s">
        <v>235</v>
      </c>
    </row>
    <row r="14" customFormat="false" ht="15" hidden="false" customHeight="false" outlineLevel="0" collapsed="false">
      <c r="B14" s="0" t="s">
        <v>216</v>
      </c>
      <c r="C14" s="22" t="n">
        <f aca="false">'Convertible Securities'!D19</f>
        <v>42.8571428571429</v>
      </c>
      <c r="D14" s="32" t="str">
        <f aca="false">IF(C14&lt;=0,"PASS","REVIEW")</f>
        <v>REVIEW</v>
      </c>
      <c r="E14" s="14" t="s">
        <v>236</v>
      </c>
    </row>
    <row r="16" customFormat="false" ht="15" hidden="false" customHeight="false" outlineLevel="0" collapsed="false">
      <c r="B16" s="2" t="s">
        <v>237</v>
      </c>
      <c r="C16" s="33" t="str">
        <f aca="false">IF(COUNTIF(D5:D14,"FAIL")+COUNTIF(D5:D14,"BREACH")&gt;0,"BREACH",IF(COUNTIF(D5:D14,"REVIEW")&gt;0,"REVIEW","PASS"))</f>
        <v>BREACH</v>
      </c>
    </row>
    <row r="18" customFormat="false" ht="15" hidden="false" customHeight="false" outlineLevel="0" collapsed="false">
      <c r="B18" s="28" t="s">
        <v>238</v>
      </c>
    </row>
    <row r="19" customFormat="false" ht="15" hidden="false" customHeight="false" outlineLevel="0" collapsed="false">
      <c r="B19" s="0" t="s">
        <v>239</v>
      </c>
      <c r="C19" s="22" t="n">
        <f aca="false">'Cap Table &amp; Dilution'!E19</f>
        <v>470</v>
      </c>
    </row>
    <row r="20" customFormat="false" ht="15" hidden="false" customHeight="false" outlineLevel="0" collapsed="false">
      <c r="B20" s="0" t="s">
        <v>169</v>
      </c>
      <c r="C20" s="27" t="n">
        <f aca="false">'Cap Table &amp; Dilution'!E21</f>
        <v>0.787234042553192</v>
      </c>
    </row>
    <row r="21" customFormat="false" ht="15" hidden="false" customHeight="false" outlineLevel="0" collapsed="false">
      <c r="B21" s="0" t="s">
        <v>172</v>
      </c>
      <c r="C21" s="24" t="n">
        <f aca="false">'Cap Table &amp; Dilution'!E24</f>
        <v>580</v>
      </c>
    </row>
    <row r="22" customFormat="false" ht="15" hidden="false" customHeight="false" outlineLevel="0" collapsed="false">
      <c r="B22" s="0" t="s">
        <v>240</v>
      </c>
      <c r="C22" s="26" t="n">
        <f aca="false">'Rights Offering'!C13</f>
        <v>11.4</v>
      </c>
    </row>
    <row r="23" customFormat="false" ht="15" hidden="false" customHeight="false" outlineLevel="0" collapsed="false">
      <c r="B23" s="0" t="s">
        <v>195</v>
      </c>
      <c r="C23" s="24" t="n">
        <f aca="false">'Rights Offering'!C19</f>
        <v>202.05</v>
      </c>
    </row>
    <row r="24" customFormat="false" ht="15" hidden="false" customHeight="false" outlineLevel="0" collapsed="false">
      <c r="B24" s="0" t="s">
        <v>211</v>
      </c>
      <c r="C24" s="22" t="n">
        <f aca="false">'Convertible Securities'!C14</f>
        <v>10</v>
      </c>
    </row>
    <row r="25" customFormat="false" ht="15" hidden="false" customHeight="false" outlineLevel="0" collapsed="false">
      <c r="B25" s="0" t="s">
        <v>241</v>
      </c>
      <c r="C25" s="22" t="n">
        <f aca="false">'Convertible Securities'!D15</f>
        <v>142.857142857143</v>
      </c>
    </row>
    <row r="26" customFormat="false" ht="15" hidden="false" customHeight="false" outlineLevel="0" collapsed="false">
      <c r="B26" s="0" t="s">
        <v>242</v>
      </c>
      <c r="C26" s="24" t="n">
        <f aca="false">'Convertible Securities'!D17</f>
        <v>575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9" min="3" style="0" width="13"/>
  </cols>
  <sheetData>
    <row r="2" customFormat="false" ht="19.7" hidden="false" customHeight="false" outlineLevel="0" collapsed="false">
      <c r="B2" s="1" t="s">
        <v>243</v>
      </c>
    </row>
    <row r="4" customFormat="false" ht="15" hidden="false" customHeight="false" outlineLevel="0" collapsed="false">
      <c r="A4" s="15"/>
      <c r="B4" s="15" t="s">
        <v>244</v>
      </c>
      <c r="C4" s="15" t="s">
        <v>245</v>
      </c>
      <c r="D4" s="15" t="s">
        <v>246</v>
      </c>
      <c r="E4" s="15" t="s">
        <v>247</v>
      </c>
      <c r="F4" s="15" t="s">
        <v>248</v>
      </c>
      <c r="G4" s="15" t="s">
        <v>249</v>
      </c>
      <c r="H4" s="15" t="s">
        <v>250</v>
      </c>
      <c r="I4" s="15" t="s">
        <v>251</v>
      </c>
    </row>
    <row r="5" customFormat="false" ht="15" hidden="false" customHeight="false" outlineLevel="0" collapsed="false">
      <c r="B5" s="2" t="s">
        <v>252</v>
      </c>
      <c r="C5" s="34"/>
      <c r="D5" s="34"/>
      <c r="E5" s="34"/>
      <c r="F5" s="34" t="n">
        <f aca="false">E5*(1+Assumptions!C5)</f>
        <v>0</v>
      </c>
      <c r="G5" s="34" t="n">
        <f aca="false">F5*(1+Assumptions!D5)</f>
        <v>0</v>
      </c>
      <c r="H5" s="34" t="n">
        <f aca="false">G5*(1+Assumptions!E5)</f>
        <v>0</v>
      </c>
      <c r="I5" s="34" t="n">
        <f aca="false">H5*(1+Assumptions!F5)</f>
        <v>0</v>
      </c>
    </row>
    <row r="6" customFormat="false" ht="15" hidden="false" customHeight="false" outlineLevel="0" collapsed="false">
      <c r="B6" s="5" t="s">
        <v>127</v>
      </c>
      <c r="C6" s="35"/>
      <c r="D6" s="35" t="str">
        <f aca="false">IFERROR(D5/C5-1,"-")</f>
        <v>-</v>
      </c>
      <c r="E6" s="35" t="str">
        <f aca="false">IFERROR(E5/D5-1,"-")</f>
        <v>-</v>
      </c>
      <c r="F6" s="35" t="str">
        <f aca="false">IFERROR(F5/E5-1,"-")</f>
        <v>-</v>
      </c>
      <c r="G6" s="35" t="str">
        <f aca="false">IFERROR(G5/F5-1,"-")</f>
        <v>-</v>
      </c>
      <c r="H6" s="35" t="str">
        <f aca="false">IFERROR(H5/G5-1,"-")</f>
        <v>-</v>
      </c>
      <c r="I6" s="35" t="str">
        <f aca="false">IFERROR(I5/H5-1,"-")</f>
        <v>-</v>
      </c>
    </row>
    <row r="7" customFormat="false" ht="15" hidden="false" customHeight="false" outlineLevel="0" collapsed="false">
      <c r="B7" s="5" t="s">
        <v>253</v>
      </c>
      <c r="C7" s="34"/>
      <c r="D7" s="34"/>
      <c r="E7" s="34"/>
      <c r="F7" s="34" t="n">
        <f aca="false">F5*(1-Assumptions!C6)</f>
        <v>0</v>
      </c>
      <c r="G7" s="34" t="n">
        <f aca="false">G5*(1-Assumptions!D6)</f>
        <v>0</v>
      </c>
      <c r="H7" s="34" t="n">
        <f aca="false">H5*(1-Assumptions!E6)</f>
        <v>0</v>
      </c>
      <c r="I7" s="34" t="n">
        <f aca="false">I5*(1-Assumptions!F6)</f>
        <v>0</v>
      </c>
    </row>
    <row r="8" customFormat="false" ht="15" hidden="false" customHeight="false" outlineLevel="0" collapsed="false">
      <c r="B8" s="2" t="s">
        <v>254</v>
      </c>
      <c r="C8" s="34"/>
      <c r="D8" s="34" t="n">
        <f aca="false">D5-D7</f>
        <v>0</v>
      </c>
      <c r="E8" s="34" t="n">
        <f aca="false">E5-E7</f>
        <v>0</v>
      </c>
      <c r="F8" s="34" t="n">
        <f aca="false">F5-F7</f>
        <v>0</v>
      </c>
      <c r="G8" s="34" t="n">
        <f aca="false">G5-G7</f>
        <v>0</v>
      </c>
      <c r="H8" s="34" t="n">
        <f aca="false">H5-H7</f>
        <v>0</v>
      </c>
      <c r="I8" s="34" t="n">
        <f aca="false">I5-I7</f>
        <v>0</v>
      </c>
    </row>
    <row r="9" customFormat="false" ht="15" hidden="false" customHeight="false" outlineLevel="0" collapsed="false">
      <c r="B9" s="5" t="s">
        <v>129</v>
      </c>
      <c r="C9" s="35"/>
      <c r="D9" s="35" t="str">
        <f aca="false">IFERROR(D8/D5,"-")</f>
        <v>-</v>
      </c>
      <c r="E9" s="35" t="str">
        <f aca="false">IFERROR(E8/E5,"-")</f>
        <v>-</v>
      </c>
      <c r="F9" s="35" t="str">
        <f aca="false">IFERROR(F8/F5,"-")</f>
        <v>-</v>
      </c>
      <c r="G9" s="35" t="str">
        <f aca="false">IFERROR(G8/G5,"-")</f>
        <v>-</v>
      </c>
      <c r="H9" s="35" t="str">
        <f aca="false">IFERROR(H8/H5,"-")</f>
        <v>-</v>
      </c>
      <c r="I9" s="35" t="str">
        <f aca="false">IFERROR(I8/I5,"-")</f>
        <v>-</v>
      </c>
    </row>
    <row r="10" customFormat="false" ht="15" hidden="false" customHeight="false" outlineLevel="0" collapsed="false">
      <c r="B10" s="5" t="s">
        <v>255</v>
      </c>
      <c r="C10" s="34"/>
      <c r="D10" s="34"/>
      <c r="E10" s="34"/>
      <c r="F10" s="34" t="n">
        <f aca="false">F5*Assumptions!C7</f>
        <v>0</v>
      </c>
      <c r="G10" s="34" t="n">
        <f aca="false">G5*Assumptions!D7</f>
        <v>0</v>
      </c>
      <c r="H10" s="34" t="n">
        <f aca="false">H5*Assumptions!E7</f>
        <v>0</v>
      </c>
      <c r="I10" s="34" t="n">
        <f aca="false">I5*Assumptions!F7</f>
        <v>0</v>
      </c>
    </row>
    <row r="11" customFormat="false" ht="15" hidden="false" customHeight="false" outlineLevel="0" collapsed="false">
      <c r="B11" s="2" t="s">
        <v>256</v>
      </c>
      <c r="C11" s="34"/>
      <c r="D11" s="34"/>
      <c r="E11" s="34"/>
      <c r="F11" s="34" t="n">
        <f aca="false">F8-F10</f>
        <v>0</v>
      </c>
      <c r="G11" s="34" t="n">
        <f aca="false">G8-G10</f>
        <v>0</v>
      </c>
      <c r="H11" s="34" t="n">
        <f aca="false">H8-H10</f>
        <v>0</v>
      </c>
      <c r="I11" s="34" t="n">
        <f aca="false">I8-I10</f>
        <v>0</v>
      </c>
    </row>
    <row r="12" customFormat="false" ht="15" hidden="false" customHeight="false" outlineLevel="0" collapsed="false">
      <c r="B12" s="5" t="s">
        <v>257</v>
      </c>
      <c r="C12" s="35"/>
      <c r="D12" s="35"/>
      <c r="E12" s="35"/>
      <c r="F12" s="35" t="str">
        <f aca="false">IFERROR(F11/F5,"-")</f>
        <v>-</v>
      </c>
      <c r="G12" s="35" t="str">
        <f aca="false">IFERROR(G11/G5,"-")</f>
        <v>-</v>
      </c>
      <c r="H12" s="35" t="str">
        <f aca="false">IFERROR(H11/H5,"-")</f>
        <v>-</v>
      </c>
      <c r="I12" s="35" t="str">
        <f aca="false">IFERROR(I11/I5,"-")</f>
        <v>-</v>
      </c>
    </row>
    <row r="13" customFormat="false" ht="15" hidden="false" customHeight="false" outlineLevel="0" collapsed="false">
      <c r="B13" s="5" t="s">
        <v>258</v>
      </c>
      <c r="C13" s="34"/>
      <c r="D13" s="34"/>
      <c r="E13" s="34"/>
      <c r="F13" s="34" t="n">
        <f aca="false">F5*Assumptions!C10*Assumptions!C9</f>
        <v>0</v>
      </c>
      <c r="G13" s="34" t="n">
        <f aca="false">G5*Assumptions!D10*Assumptions!D9</f>
        <v>0</v>
      </c>
      <c r="H13" s="34" t="n">
        <f aca="false">H5*Assumptions!E10*Assumptions!E9</f>
        <v>0</v>
      </c>
      <c r="I13" s="34" t="n">
        <f aca="false">I5*Assumptions!F10*Assumptions!F9</f>
        <v>0</v>
      </c>
    </row>
    <row r="14" customFormat="false" ht="15" hidden="false" customHeight="false" outlineLevel="0" collapsed="false">
      <c r="B14" s="2" t="s">
        <v>259</v>
      </c>
      <c r="C14" s="34"/>
      <c r="D14" s="34"/>
      <c r="E14" s="34"/>
      <c r="F14" s="34" t="n">
        <f aca="false">F11-F13</f>
        <v>0</v>
      </c>
      <c r="G14" s="34" t="n">
        <f aca="false">G11-G13</f>
        <v>0</v>
      </c>
      <c r="H14" s="34" t="n">
        <f aca="false">H11-H13</f>
        <v>0</v>
      </c>
      <c r="I14" s="34" t="n">
        <f aca="false">I11-I13</f>
        <v>0</v>
      </c>
    </row>
    <row r="15" customFormat="false" ht="15" hidden="false" customHeight="false" outlineLevel="0" collapsed="false">
      <c r="B15" s="5" t="s">
        <v>260</v>
      </c>
      <c r="C15" s="34"/>
      <c r="D15" s="34"/>
      <c r="E15" s="34"/>
      <c r="F15" s="34" t="n">
        <f aca="false">$E$15</f>
        <v>0</v>
      </c>
      <c r="G15" s="34" t="n">
        <f aca="false">$E$15</f>
        <v>0</v>
      </c>
      <c r="H15" s="34" t="n">
        <f aca="false">$E$15</f>
        <v>0</v>
      </c>
      <c r="I15" s="34" t="n">
        <f aca="false">$E$15</f>
        <v>0</v>
      </c>
    </row>
    <row r="16" customFormat="false" ht="15" hidden="false" customHeight="false" outlineLevel="0" collapsed="false">
      <c r="B16" s="5" t="s">
        <v>261</v>
      </c>
      <c r="C16" s="34"/>
      <c r="D16" s="34"/>
      <c r="E16" s="34"/>
      <c r="F16" s="34" t="n">
        <f aca="false">F14-F15</f>
        <v>0</v>
      </c>
      <c r="G16" s="34" t="n">
        <f aca="false">G14-G15</f>
        <v>0</v>
      </c>
      <c r="H16" s="34" t="n">
        <f aca="false">H14-H15</f>
        <v>0</v>
      </c>
      <c r="I16" s="34" t="n">
        <f aca="false">I14-I15</f>
        <v>0</v>
      </c>
    </row>
    <row r="17" customFormat="false" ht="15" hidden="false" customHeight="false" outlineLevel="0" collapsed="false">
      <c r="B17" s="5" t="s">
        <v>262</v>
      </c>
      <c r="C17" s="34"/>
      <c r="D17" s="34"/>
      <c r="E17" s="34"/>
      <c r="F17" s="34" t="n">
        <f aca="false">F16*Assumptions!C8</f>
        <v>0</v>
      </c>
      <c r="G17" s="34" t="n">
        <f aca="false">G16*Assumptions!D8</f>
        <v>0</v>
      </c>
      <c r="H17" s="34" t="n">
        <f aca="false">H16*Assumptions!E8</f>
        <v>0</v>
      </c>
      <c r="I17" s="34" t="n">
        <f aca="false">I16*Assumptions!F8</f>
        <v>0</v>
      </c>
    </row>
    <row r="18" customFormat="false" ht="15" hidden="false" customHeight="false" outlineLevel="0" collapsed="false">
      <c r="B18" s="2" t="s">
        <v>263</v>
      </c>
      <c r="C18" s="34"/>
      <c r="D18" s="34"/>
      <c r="E18" s="34"/>
      <c r="F18" s="34" t="n">
        <f aca="false">F16-F17</f>
        <v>0</v>
      </c>
      <c r="G18" s="34" t="n">
        <f aca="false">G16-G17</f>
        <v>0</v>
      </c>
      <c r="H18" s="34" t="n">
        <f aca="false">H16-H17</f>
        <v>0</v>
      </c>
      <c r="I18" s="34" t="n">
        <f aca="false">I16-I17</f>
        <v>0</v>
      </c>
    </row>
    <row r="19" customFormat="false" ht="15" hidden="false" customHeight="false" outlineLevel="0" collapsed="false">
      <c r="B19" s="5" t="s">
        <v>264</v>
      </c>
      <c r="C19" s="34"/>
      <c r="D19" s="34"/>
      <c r="E19" s="34"/>
      <c r="F19" s="34" t="n">
        <f aca="false">Assumptions!C12</f>
        <v>470</v>
      </c>
      <c r="G19" s="34" t="n">
        <f aca="false">Assumptions!D12</f>
        <v>470</v>
      </c>
      <c r="H19" s="34" t="n">
        <f aca="false">Assumptions!E12</f>
        <v>470</v>
      </c>
      <c r="I19" s="34" t="n">
        <f aca="false">Assumptions!F12</f>
        <v>470</v>
      </c>
    </row>
    <row r="20" customFormat="false" ht="15" hidden="false" customHeight="false" outlineLevel="0" collapsed="false">
      <c r="B20" s="5" t="s">
        <v>265</v>
      </c>
      <c r="C20" s="34"/>
      <c r="D20" s="34"/>
      <c r="E20" s="34"/>
      <c r="F20" s="34" t="n">
        <f aca="false">IFERROR(F18/F19,"-")</f>
        <v>0</v>
      </c>
      <c r="G20" s="34" t="n">
        <f aca="false">IFERROR(G18/G19,"-")</f>
        <v>0</v>
      </c>
      <c r="H20" s="34" t="n">
        <f aca="false">IFERROR(H18/H19,"-")</f>
        <v>0</v>
      </c>
      <c r="I20" s="34" t="n">
        <f aca="false">IFERROR(I18/I19,"-")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3"/>
  </cols>
  <sheetData>
    <row r="2" customFormat="false" ht="19.7" hidden="false" customHeight="false" outlineLevel="0" collapsed="false">
      <c r="B2" s="1" t="s">
        <v>266</v>
      </c>
    </row>
    <row r="4" customFormat="false" ht="15" hidden="false" customHeight="false" outlineLevel="0" collapsed="false">
      <c r="A4" s="15"/>
      <c r="B4" s="15" t="s">
        <v>244</v>
      </c>
      <c r="C4" s="15" t="s">
        <v>246</v>
      </c>
      <c r="D4" s="15" t="s">
        <v>247</v>
      </c>
      <c r="E4" s="15" t="s">
        <v>248</v>
      </c>
      <c r="F4" s="15" t="s">
        <v>249</v>
      </c>
      <c r="G4" s="14" t="s">
        <v>250</v>
      </c>
    </row>
    <row r="5" customFormat="false" ht="15" hidden="false" customHeight="false" outlineLevel="0" collapsed="false">
      <c r="B5" s="5" t="s">
        <v>267</v>
      </c>
      <c r="C5" s="34"/>
      <c r="D5" s="34"/>
      <c r="E5" s="34"/>
      <c r="F5" s="34"/>
      <c r="G5" s="34"/>
    </row>
    <row r="6" customFormat="false" ht="15" hidden="false" customHeight="false" outlineLevel="0" collapsed="false">
      <c r="B6" s="5" t="s">
        <v>268</v>
      </c>
      <c r="C6" s="34"/>
      <c r="D6" s="34"/>
      <c r="E6" s="34"/>
      <c r="F6" s="34"/>
      <c r="G6" s="34"/>
    </row>
    <row r="7" customFormat="false" ht="15" hidden="false" customHeight="false" outlineLevel="0" collapsed="false">
      <c r="B7" s="5" t="s">
        <v>269</v>
      </c>
      <c r="C7" s="34"/>
      <c r="D7" s="34"/>
      <c r="E7" s="34"/>
      <c r="F7" s="34"/>
      <c r="G7" s="34"/>
    </row>
    <row r="8" customFormat="false" ht="15" hidden="false" customHeight="false" outlineLevel="0" collapsed="false">
      <c r="B8" s="2" t="s">
        <v>270</v>
      </c>
      <c r="C8" s="34" t="n">
        <f aca="false">C5+C6+C7</f>
        <v>0</v>
      </c>
      <c r="D8" s="34" t="n">
        <f aca="false">D5+D6+D7</f>
        <v>0</v>
      </c>
      <c r="E8" s="34" t="n">
        <f aca="false">E5+E6+E7</f>
        <v>0</v>
      </c>
      <c r="F8" s="34" t="n">
        <f aca="false">F5+F6+F7</f>
        <v>0</v>
      </c>
      <c r="G8" s="34" t="n">
        <f aca="false">G5+G6+G7</f>
        <v>0</v>
      </c>
    </row>
    <row r="9" customFormat="false" ht="15" hidden="false" customHeight="false" outlineLevel="0" collapsed="false">
      <c r="B9" s="5" t="s">
        <v>271</v>
      </c>
      <c r="C9" s="34"/>
      <c r="D9" s="34"/>
      <c r="E9" s="34"/>
      <c r="F9" s="34"/>
      <c r="G9" s="34"/>
    </row>
    <row r="10" customFormat="false" ht="15" hidden="false" customHeight="false" outlineLevel="0" collapsed="false">
      <c r="B10" s="5" t="s">
        <v>272</v>
      </c>
      <c r="C10" s="34"/>
      <c r="D10" s="34"/>
      <c r="E10" s="34"/>
      <c r="F10" s="34"/>
      <c r="G10" s="34"/>
    </row>
    <row r="11" customFormat="false" ht="15" hidden="false" customHeight="false" outlineLevel="0" collapsed="false">
      <c r="B11" s="2" t="s">
        <v>273</v>
      </c>
      <c r="C11" s="34" t="n">
        <f aca="false">C8+C9+C10</f>
        <v>0</v>
      </c>
      <c r="D11" s="34" t="n">
        <f aca="false">D8+D9+D10</f>
        <v>0</v>
      </c>
      <c r="E11" s="34" t="n">
        <f aca="false">E8+E9+E10</f>
        <v>0</v>
      </c>
      <c r="F11" s="34" t="n">
        <f aca="false">F8+F9+F10</f>
        <v>0</v>
      </c>
      <c r="G11" s="34" t="n">
        <f aca="false">G8+G9+G10</f>
        <v>0</v>
      </c>
    </row>
    <row r="12" customFormat="false" ht="15" hidden="false" customHeight="false" outlineLevel="0" collapsed="false">
      <c r="B12" s="5" t="s">
        <v>274</v>
      </c>
      <c r="C12" s="34"/>
      <c r="D12" s="34"/>
      <c r="E12" s="34"/>
      <c r="F12" s="34"/>
      <c r="G12" s="34"/>
    </row>
    <row r="13" customFormat="false" ht="15" hidden="false" customHeight="false" outlineLevel="0" collapsed="false">
      <c r="B13" s="5" t="s">
        <v>275</v>
      </c>
      <c r="C13" s="34"/>
      <c r="D13" s="34"/>
      <c r="E13" s="34"/>
      <c r="F13" s="34"/>
      <c r="G13" s="34"/>
    </row>
    <row r="14" customFormat="false" ht="15" hidden="false" customHeight="false" outlineLevel="0" collapsed="false">
      <c r="B14" s="2" t="s">
        <v>276</v>
      </c>
      <c r="C14" s="34" t="n">
        <f aca="false">C12+C13</f>
        <v>0</v>
      </c>
      <c r="D14" s="34" t="n">
        <f aca="false">D12+D13</f>
        <v>0</v>
      </c>
      <c r="E14" s="34" t="n">
        <f aca="false">E12+E13</f>
        <v>0</v>
      </c>
      <c r="F14" s="34" t="n">
        <f aca="false">F12+F13</f>
        <v>0</v>
      </c>
      <c r="G14" s="34" t="n">
        <f aca="false">G12+G13</f>
        <v>0</v>
      </c>
    </row>
    <row r="15" customFormat="false" ht="15" hidden="false" customHeight="false" outlineLevel="0" collapsed="false">
      <c r="B15" s="5" t="s">
        <v>277</v>
      </c>
      <c r="C15" s="34"/>
      <c r="D15" s="34"/>
      <c r="E15" s="34"/>
      <c r="F15" s="34"/>
      <c r="G15" s="34"/>
    </row>
    <row r="16" customFormat="false" ht="15" hidden="false" customHeight="false" outlineLevel="0" collapsed="false">
      <c r="B16" s="2" t="s">
        <v>278</v>
      </c>
      <c r="C16" s="34" t="n">
        <f aca="false">C14+C15</f>
        <v>0</v>
      </c>
      <c r="D16" s="34" t="n">
        <f aca="false">D14+D15</f>
        <v>0</v>
      </c>
      <c r="E16" s="34" t="n">
        <f aca="false">E14+E15</f>
        <v>0</v>
      </c>
      <c r="F16" s="34" t="n">
        <f aca="false">F14+F15</f>
        <v>0</v>
      </c>
      <c r="G16" s="34" t="n">
        <f aca="false">G14+G15</f>
        <v>0</v>
      </c>
    </row>
    <row r="17" customFormat="false" ht="15" hidden="false" customHeight="false" outlineLevel="0" collapsed="false">
      <c r="B17" s="2" t="s">
        <v>279</v>
      </c>
      <c r="C17" s="34"/>
      <c r="D17" s="34"/>
      <c r="E17" s="34"/>
      <c r="F17" s="34"/>
      <c r="G17" s="34"/>
    </row>
    <row r="19" customFormat="false" ht="15" hidden="false" customHeight="false" outlineLevel="0" collapsed="false">
      <c r="B19" s="29" t="s">
        <v>280</v>
      </c>
      <c r="C19" s="24" t="n">
        <f aca="false">C11-C16-C17</f>
        <v>0</v>
      </c>
      <c r="D19" s="24" t="n">
        <f aca="false">D11-D16-D17</f>
        <v>0</v>
      </c>
      <c r="E19" s="24" t="n">
        <f aca="false">E11-E16-E17</f>
        <v>0</v>
      </c>
      <c r="F19" s="24" t="n">
        <f aca="false">F11-F16-F17</f>
        <v>0</v>
      </c>
      <c r="G19" s="24" t="n">
        <f aca="false">G11-G16-G17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3"/>
  </cols>
  <sheetData>
    <row r="2" customFormat="false" ht="19.7" hidden="false" customHeight="false" outlineLevel="0" collapsed="false">
      <c r="B2" s="1" t="s">
        <v>281</v>
      </c>
    </row>
    <row r="4" customFormat="false" ht="15" hidden="false" customHeight="false" outlineLevel="0" collapsed="false">
      <c r="A4" s="15"/>
      <c r="B4" s="15" t="s">
        <v>244</v>
      </c>
      <c r="C4" s="15" t="s">
        <v>246</v>
      </c>
      <c r="D4" s="15" t="s">
        <v>247</v>
      </c>
      <c r="E4" s="15" t="s">
        <v>248</v>
      </c>
      <c r="F4" s="15" t="s">
        <v>249</v>
      </c>
      <c r="G4" s="14" t="s">
        <v>250</v>
      </c>
    </row>
    <row r="5" customFormat="false" ht="15" hidden="false" customHeight="false" outlineLevel="0" collapsed="false">
      <c r="B5" s="5" t="s">
        <v>263</v>
      </c>
      <c r="C5" s="34"/>
      <c r="D5" s="34"/>
      <c r="E5" s="36" t="n">
        <f aca="false">IS!F18</f>
        <v>0</v>
      </c>
      <c r="F5" s="36" t="n">
        <f aca="false">IS!G18</f>
        <v>0</v>
      </c>
      <c r="G5" s="36" t="n">
        <f aca="false">IS!H18</f>
        <v>0</v>
      </c>
    </row>
    <row r="6" customFormat="false" ht="15" hidden="false" customHeight="false" outlineLevel="0" collapsed="false">
      <c r="B6" s="5" t="s">
        <v>282</v>
      </c>
      <c r="C6" s="34"/>
      <c r="D6" s="34"/>
      <c r="E6" s="36" t="n">
        <f aca="false">IS!F13</f>
        <v>0</v>
      </c>
      <c r="F6" s="36" t="n">
        <f aca="false">IS!G13</f>
        <v>0</v>
      </c>
      <c r="G6" s="36" t="n">
        <f aca="false">IS!H13</f>
        <v>0</v>
      </c>
    </row>
    <row r="7" customFormat="false" ht="15" hidden="false" customHeight="false" outlineLevel="0" collapsed="false">
      <c r="B7" s="5" t="s">
        <v>283</v>
      </c>
      <c r="C7" s="34"/>
      <c r="D7" s="34"/>
      <c r="E7" s="34"/>
      <c r="F7" s="34"/>
      <c r="G7" s="34"/>
    </row>
    <row r="8" customFormat="false" ht="15" hidden="false" customHeight="false" outlineLevel="0" collapsed="false">
      <c r="B8" s="2" t="s">
        <v>284</v>
      </c>
      <c r="C8" s="34" t="n">
        <f aca="false">C5+C6+C7</f>
        <v>0</v>
      </c>
      <c r="D8" s="34" t="n">
        <f aca="false">D5+D6+D7</f>
        <v>0</v>
      </c>
      <c r="E8" s="34" t="n">
        <f aca="false">E5+E6+E7</f>
        <v>0</v>
      </c>
      <c r="F8" s="34" t="n">
        <f aca="false">F5+F6+F7</f>
        <v>0</v>
      </c>
      <c r="G8" s="34" t="n">
        <f aca="false">G5+G6+G7</f>
        <v>0</v>
      </c>
    </row>
    <row r="9" customFormat="false" ht="15" hidden="false" customHeight="false" outlineLevel="0" collapsed="false">
      <c r="B9" s="5" t="s">
        <v>285</v>
      </c>
      <c r="C9" s="34"/>
      <c r="D9" s="34"/>
      <c r="E9" s="34"/>
      <c r="F9" s="34"/>
      <c r="G9" s="34"/>
    </row>
    <row r="10" customFormat="false" ht="15" hidden="false" customHeight="false" outlineLevel="0" collapsed="false">
      <c r="B10" s="2" t="s">
        <v>286</v>
      </c>
      <c r="C10" s="34" t="n">
        <f aca="false">C8+C9</f>
        <v>0</v>
      </c>
      <c r="D10" s="34" t="n">
        <f aca="false">D8+D9</f>
        <v>0</v>
      </c>
      <c r="E10" s="34" t="n">
        <f aca="false">E8+E9</f>
        <v>0</v>
      </c>
      <c r="F10" s="34" t="n">
        <f aca="false">F8+F9</f>
        <v>0</v>
      </c>
      <c r="G10" s="34" t="n">
        <f aca="false">G8+G9</f>
        <v>0</v>
      </c>
    </row>
    <row r="11" customFormat="false" ht="15" hidden="false" customHeight="false" outlineLevel="0" collapsed="false">
      <c r="B11" s="5" t="s">
        <v>287</v>
      </c>
      <c r="C11" s="34"/>
      <c r="D11" s="34"/>
      <c r="E11" s="34"/>
      <c r="F11" s="34"/>
      <c r="G11" s="34"/>
    </row>
    <row r="12" customFormat="false" ht="15" hidden="false" customHeight="false" outlineLevel="0" collapsed="false">
      <c r="B12" s="5" t="s">
        <v>288</v>
      </c>
      <c r="C12" s="34"/>
      <c r="D12" s="34"/>
      <c r="E12" s="34"/>
      <c r="F12" s="34"/>
      <c r="G12" s="34"/>
    </row>
    <row r="13" customFormat="false" ht="15" hidden="false" customHeight="false" outlineLevel="0" collapsed="false">
      <c r="B13" s="5" t="s">
        <v>289</v>
      </c>
      <c r="C13" s="34" t="n">
        <f aca="false">C10+C11+C12</f>
        <v>0</v>
      </c>
      <c r="D13" s="34" t="n">
        <f aca="false">D10+D11+D12</f>
        <v>0</v>
      </c>
      <c r="E13" s="34" t="n">
        <f aca="false">E10+E11+E12</f>
        <v>0</v>
      </c>
      <c r="F13" s="34" t="n">
        <f aca="false">F10+F11+F12</f>
        <v>0</v>
      </c>
      <c r="G13" s="34" t="n">
        <f aca="false">G10+G11+G12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22"/>
    <col collapsed="false" customWidth="true" hidden="false" outlineLevel="0" max="10" min="10" style="0" width="14"/>
  </cols>
  <sheetData>
    <row r="2" customFormat="false" ht="19.7" hidden="false" customHeight="false" outlineLevel="0" collapsed="false">
      <c r="B2" s="1" t="s">
        <v>290</v>
      </c>
    </row>
    <row r="4" customFormat="false" ht="15" hidden="false" customHeight="false" outlineLevel="0" collapsed="false">
      <c r="C4" s="15" t="s">
        <v>248</v>
      </c>
      <c r="D4" s="15" t="s">
        <v>249</v>
      </c>
      <c r="E4" s="15" t="s">
        <v>250</v>
      </c>
      <c r="F4" s="15" t="s">
        <v>251</v>
      </c>
      <c r="G4" s="15" t="s">
        <v>291</v>
      </c>
      <c r="H4" s="2" t="s">
        <v>292</v>
      </c>
    </row>
    <row r="5" customFormat="false" ht="15" hidden="false" customHeight="false" outlineLevel="0" collapsed="false">
      <c r="B5" s="0" t="s">
        <v>293</v>
      </c>
      <c r="C5" s="37" t="n">
        <f aca="false">IS!F14*(1-Assumptions!C8)+IS!F13-IS!F5*Assumptions!C10</f>
        <v>0</v>
      </c>
      <c r="D5" s="37" t="n">
        <f aca="false">IS!G14*(1-Assumptions!D8)+IS!G13-IS!G5*Assumptions!D10</f>
        <v>0</v>
      </c>
      <c r="E5" s="37" t="n">
        <f aca="false">IS!H14*(1-Assumptions!E8)+IS!H13-IS!H5*Assumptions!E10</f>
        <v>0</v>
      </c>
      <c r="F5" s="37" t="n">
        <f aca="false">IS!I14*(1-Assumptions!F8)+IS!I13-IS!I5*Assumptions!F10</f>
        <v>0</v>
      </c>
      <c r="G5" s="37" t="n">
        <f aca="false">F5*(1+Assumptions!G5)</f>
        <v>0</v>
      </c>
      <c r="H5" s="14" t="s">
        <v>294</v>
      </c>
      <c r="I5" s="38" t="n">
        <v>0.1</v>
      </c>
    </row>
    <row r="6" customFormat="false" ht="15" hidden="false" customHeight="false" outlineLevel="0" collapsed="false">
      <c r="B6" s="0" t="s">
        <v>295</v>
      </c>
      <c r="C6" s="39" t="n">
        <f aca="false">1/(1+$I$5)^(1)</f>
        <v>0.909090909090909</v>
      </c>
      <c r="D6" s="39" t="n">
        <f aca="false">1/(1+$I$5)^(2)</f>
        <v>0.826446280991735</v>
      </c>
      <c r="E6" s="39" t="n">
        <f aca="false">1/(1+$I$5)^(3)</f>
        <v>0.751314800901578</v>
      </c>
      <c r="F6" s="39" t="n">
        <f aca="false">1/(1+$I$5)^(4)</f>
        <v>0.683013455365071</v>
      </c>
      <c r="G6" s="39" t="n">
        <f aca="false">1/(1+$I$5)^(5)</f>
        <v>0.620921323059155</v>
      </c>
      <c r="H6" s="14" t="s">
        <v>296</v>
      </c>
      <c r="I6" s="38" t="n">
        <v>0.025</v>
      </c>
    </row>
    <row r="7" customFormat="false" ht="15" hidden="false" customHeight="false" outlineLevel="0" collapsed="false">
      <c r="B7" s="0" t="s">
        <v>297</v>
      </c>
      <c r="C7" s="40" t="n">
        <f aca="false">C5*C6</f>
        <v>0</v>
      </c>
      <c r="D7" s="40" t="n">
        <f aca="false">D5*D6</f>
        <v>0</v>
      </c>
      <c r="E7" s="40" t="n">
        <f aca="false">E5*E6</f>
        <v>0</v>
      </c>
      <c r="F7" s="40" t="n">
        <f aca="false">F5*F6</f>
        <v>0</v>
      </c>
      <c r="G7" s="40" t="n">
        <f aca="false">G5*G6</f>
        <v>0</v>
      </c>
      <c r="H7" s="14" t="s">
        <v>298</v>
      </c>
      <c r="I7" s="40" t="n">
        <f aca="false">G5*(1+I6)/(I5-I6)</f>
        <v>0</v>
      </c>
    </row>
    <row r="8" customFormat="false" ht="15" hidden="false" customHeight="false" outlineLevel="0" collapsed="false">
      <c r="H8" s="0" t="s">
        <v>299</v>
      </c>
      <c r="I8" s="40" t="n">
        <f aca="false">I7*G6</f>
        <v>0</v>
      </c>
    </row>
    <row r="9" customFormat="false" ht="15" hidden="false" customHeight="false" outlineLevel="0" collapsed="false">
      <c r="H9" s="0" t="s">
        <v>300</v>
      </c>
      <c r="I9" s="40" t="n">
        <f aca="false">SUM(C7:G7)</f>
        <v>0</v>
      </c>
    </row>
    <row r="10" customFormat="false" ht="15" hidden="false" customHeight="false" outlineLevel="0" collapsed="false">
      <c r="H10" s="0" t="s">
        <v>301</v>
      </c>
      <c r="I10" s="41" t="n">
        <f aca="false">I8+I9</f>
        <v>0</v>
      </c>
    </row>
    <row r="11" customFormat="false" ht="15" hidden="false" customHeight="false" outlineLevel="0" collapsed="false">
      <c r="H11" s="0" t="s">
        <v>302</v>
      </c>
      <c r="I11" s="42" t="n">
        <v>0</v>
      </c>
    </row>
    <row r="12" customFormat="false" ht="15" hidden="false" customHeight="false" outlineLevel="0" collapsed="false">
      <c r="H12" s="0" t="s">
        <v>303</v>
      </c>
      <c r="I12" s="41" t="n">
        <f aca="false">I10-I11</f>
        <v>0</v>
      </c>
    </row>
    <row r="13" customFormat="false" ht="15" hidden="false" customHeight="false" outlineLevel="0" collapsed="false">
      <c r="H13" s="0" t="s">
        <v>304</v>
      </c>
      <c r="I13" s="42" t="n">
        <v>1</v>
      </c>
    </row>
    <row r="14" customFormat="false" ht="15" hidden="false" customHeight="false" outlineLevel="0" collapsed="false">
      <c r="H14" s="0" t="s">
        <v>305</v>
      </c>
      <c r="I14" s="41" t="n">
        <f aca="false">I12/I13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8" min="3" style="0" width="12"/>
  </cols>
  <sheetData>
    <row r="2" customFormat="false" ht="19.7" hidden="false" customHeight="false" outlineLevel="0" collapsed="false">
      <c r="B2" s="1" t="s">
        <v>306</v>
      </c>
    </row>
    <row r="4" customFormat="false" ht="15" hidden="false" customHeight="false" outlineLevel="0" collapsed="false">
      <c r="A4" s="15"/>
      <c r="B4" s="15" t="s">
        <v>307</v>
      </c>
      <c r="C4" s="15" t="s">
        <v>308</v>
      </c>
      <c r="D4" s="15" t="s">
        <v>309</v>
      </c>
      <c r="E4" s="15" t="s">
        <v>310</v>
      </c>
      <c r="F4" s="15" t="s">
        <v>311</v>
      </c>
      <c r="G4" s="15" t="s">
        <v>312</v>
      </c>
      <c r="H4" s="15" t="s">
        <v>313</v>
      </c>
    </row>
    <row r="5" customFormat="false" ht="15" hidden="false" customHeight="false" outlineLevel="0" collapsed="false">
      <c r="B5" s="3" t="s">
        <v>314</v>
      </c>
      <c r="C5" s="43" t="n">
        <v>0</v>
      </c>
      <c r="D5" s="43" t="n">
        <v>0</v>
      </c>
      <c r="E5" s="43" t="n">
        <v>0</v>
      </c>
      <c r="F5" s="44" t="n">
        <v>0</v>
      </c>
      <c r="G5" s="44" t="n">
        <v>0</v>
      </c>
      <c r="H5" s="44" t="n">
        <v>0</v>
      </c>
    </row>
    <row r="6" customFormat="false" ht="15" hidden="false" customHeight="false" outlineLevel="0" collapsed="false">
      <c r="B6" s="3" t="s">
        <v>314</v>
      </c>
      <c r="C6" s="43" t="n">
        <v>0</v>
      </c>
      <c r="D6" s="43" t="n">
        <v>0</v>
      </c>
      <c r="E6" s="43" t="n">
        <v>0</v>
      </c>
      <c r="F6" s="44" t="n">
        <v>0</v>
      </c>
      <c r="G6" s="44" t="n">
        <v>0</v>
      </c>
      <c r="H6" s="44" t="n">
        <v>0</v>
      </c>
    </row>
    <row r="7" customFormat="false" ht="15" hidden="false" customHeight="false" outlineLevel="0" collapsed="false">
      <c r="B7" s="3" t="s">
        <v>314</v>
      </c>
      <c r="C7" s="43" t="n">
        <v>0</v>
      </c>
      <c r="D7" s="43" t="n">
        <v>0</v>
      </c>
      <c r="E7" s="43" t="n">
        <v>0</v>
      </c>
      <c r="F7" s="44" t="n">
        <v>0</v>
      </c>
      <c r="G7" s="44" t="n">
        <v>0</v>
      </c>
      <c r="H7" s="44" t="n">
        <v>0</v>
      </c>
    </row>
    <row r="8" customFormat="false" ht="15" hidden="false" customHeight="false" outlineLevel="0" collapsed="false">
      <c r="B8" s="3" t="s">
        <v>314</v>
      </c>
      <c r="C8" s="43" t="n">
        <v>0</v>
      </c>
      <c r="D8" s="43" t="n">
        <v>0</v>
      </c>
      <c r="E8" s="43" t="n">
        <v>0</v>
      </c>
      <c r="F8" s="44" t="n">
        <v>0</v>
      </c>
      <c r="G8" s="44" t="n">
        <v>0</v>
      </c>
      <c r="H8" s="44" t="n">
        <v>0</v>
      </c>
    </row>
    <row r="9" customFormat="false" ht="15" hidden="false" customHeight="false" outlineLevel="0" collapsed="false">
      <c r="B9" s="3" t="s">
        <v>314</v>
      </c>
      <c r="C9" s="43" t="n">
        <v>0</v>
      </c>
      <c r="D9" s="43" t="n">
        <v>0</v>
      </c>
      <c r="E9" s="43" t="n">
        <v>0</v>
      </c>
      <c r="F9" s="44" t="n">
        <v>0</v>
      </c>
      <c r="G9" s="44" t="n">
        <v>0</v>
      </c>
      <c r="H9" s="44" t="n">
        <v>0</v>
      </c>
    </row>
    <row r="10" customFormat="false" ht="15" hidden="false" customHeight="false" outlineLevel="0" collapsed="false">
      <c r="B10" s="3" t="s">
        <v>314</v>
      </c>
      <c r="C10" s="43" t="n">
        <v>0</v>
      </c>
      <c r="D10" s="43" t="n">
        <v>0</v>
      </c>
      <c r="E10" s="43" t="n">
        <v>0</v>
      </c>
      <c r="F10" s="44" t="n">
        <v>0</v>
      </c>
      <c r="G10" s="44" t="n">
        <v>0</v>
      </c>
      <c r="H10" s="44" t="n">
        <v>0</v>
      </c>
    </row>
    <row r="11" customFormat="false" ht="15" hidden="false" customHeight="false" outlineLevel="0" collapsed="false">
      <c r="B11" s="3" t="s">
        <v>314</v>
      </c>
      <c r="C11" s="43" t="n">
        <v>0</v>
      </c>
      <c r="D11" s="43" t="n">
        <v>0</v>
      </c>
      <c r="E11" s="43" t="n">
        <v>0</v>
      </c>
      <c r="F11" s="44" t="n">
        <v>0</v>
      </c>
      <c r="G11" s="44" t="n">
        <v>0</v>
      </c>
      <c r="H11" s="44" t="n">
        <v>0</v>
      </c>
    </row>
    <row r="13" customFormat="false" ht="15" hidden="false" customHeight="false" outlineLevel="0" collapsed="false">
      <c r="B13" s="2" t="s">
        <v>315</v>
      </c>
      <c r="C13" s="41" t="n">
        <f aca="false">MEDIAN(C5:C12)</f>
        <v>0</v>
      </c>
      <c r="D13" s="41" t="n">
        <f aca="false">MEDIAN(D5:D12)</f>
        <v>0</v>
      </c>
      <c r="E13" s="41" t="n">
        <f aca="false">MEDIAN(E5:E12)</f>
        <v>0</v>
      </c>
      <c r="F13" s="45" t="n">
        <f aca="false">MEDIAN(F5:F12)</f>
        <v>0</v>
      </c>
      <c r="G13" s="45" t="n">
        <f aca="false">MEDIAN(G5:G12)</f>
        <v>0</v>
      </c>
      <c r="H13" s="45" t="n">
        <f aca="false">MEDIAN(H5:H12)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8" min="3" style="0" width="12"/>
  </cols>
  <sheetData>
    <row r="2" customFormat="false" ht="19.7" hidden="false" customHeight="false" outlineLevel="0" collapsed="false">
      <c r="B2" s="1" t="s">
        <v>316</v>
      </c>
    </row>
    <row r="4" customFormat="false" ht="15" hidden="false" customHeight="false" outlineLevel="0" collapsed="false">
      <c r="B4" s="28" t="s">
        <v>317</v>
      </c>
      <c r="C4" s="46" t="n">
        <v>0.015</v>
      </c>
      <c r="D4" s="46" t="n">
        <v>0.02</v>
      </c>
      <c r="E4" s="46" t="n">
        <v>0.025</v>
      </c>
      <c r="F4" s="46" t="n">
        <v>0.03</v>
      </c>
      <c r="G4" s="46" t="n">
        <v>0.035</v>
      </c>
    </row>
    <row r="5" customFormat="false" ht="15" hidden="false" customHeight="false" outlineLevel="0" collapsed="false">
      <c r="B5" s="46" t="n">
        <v>0.08</v>
      </c>
      <c r="C5" s="29" t="s">
        <v>318</v>
      </c>
      <c r="D5" s="29" t="s">
        <v>318</v>
      </c>
      <c r="E5" s="29" t="s">
        <v>318</v>
      </c>
      <c r="F5" s="29" t="s">
        <v>318</v>
      </c>
      <c r="G5" s="29" t="s">
        <v>318</v>
      </c>
    </row>
    <row r="6" customFormat="false" ht="15" hidden="false" customHeight="false" outlineLevel="0" collapsed="false">
      <c r="B6" s="46" t="n">
        <v>0.09</v>
      </c>
      <c r="C6" s="29" t="s">
        <v>318</v>
      </c>
      <c r="D6" s="29" t="s">
        <v>318</v>
      </c>
      <c r="E6" s="29" t="s">
        <v>318</v>
      </c>
      <c r="F6" s="29" t="s">
        <v>318</v>
      </c>
      <c r="G6" s="29" t="s">
        <v>318</v>
      </c>
    </row>
    <row r="7" customFormat="false" ht="15" hidden="false" customHeight="false" outlineLevel="0" collapsed="false">
      <c r="B7" s="46" t="n">
        <v>0.1</v>
      </c>
      <c r="C7" s="29" t="s">
        <v>318</v>
      </c>
      <c r="D7" s="29" t="s">
        <v>318</v>
      </c>
      <c r="E7" s="29" t="s">
        <v>318</v>
      </c>
      <c r="F7" s="29" t="s">
        <v>318</v>
      </c>
      <c r="G7" s="29" t="s">
        <v>318</v>
      </c>
    </row>
    <row r="8" customFormat="false" ht="15" hidden="false" customHeight="false" outlineLevel="0" collapsed="false">
      <c r="B8" s="46" t="n">
        <v>0.11</v>
      </c>
      <c r="C8" s="29" t="s">
        <v>318</v>
      </c>
      <c r="D8" s="29" t="s">
        <v>318</v>
      </c>
      <c r="E8" s="29" t="s">
        <v>318</v>
      </c>
      <c r="F8" s="29" t="s">
        <v>318</v>
      </c>
      <c r="G8" s="29" t="s">
        <v>318</v>
      </c>
    </row>
    <row r="9" customFormat="false" ht="15" hidden="false" customHeight="false" outlineLevel="0" collapsed="false">
      <c r="B9" s="46" t="n">
        <v>0.12</v>
      </c>
      <c r="C9" s="29" t="s">
        <v>318</v>
      </c>
      <c r="D9" s="29" t="s">
        <v>318</v>
      </c>
      <c r="E9" s="29" t="s">
        <v>318</v>
      </c>
      <c r="F9" s="29" t="s">
        <v>318</v>
      </c>
      <c r="G9" s="29" t="s">
        <v>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319</v>
      </c>
    </row>
    <row r="4" customFormat="false" ht="15" hidden="false" customHeight="false" outlineLevel="0" collapsed="false">
      <c r="A4" s="15"/>
      <c r="B4" s="15" t="s">
        <v>91</v>
      </c>
      <c r="C4" s="15" t="s">
        <v>320</v>
      </c>
      <c r="D4" s="15" t="s">
        <v>321</v>
      </c>
      <c r="E4" s="15" t="s">
        <v>322</v>
      </c>
      <c r="F4" s="15" t="s">
        <v>323</v>
      </c>
    </row>
    <row r="5" customFormat="false" ht="15" hidden="false" customHeight="false" outlineLevel="0" collapsed="false">
      <c r="B5" s="32" t="s">
        <v>6</v>
      </c>
      <c r="C5" s="32" t="s">
        <v>324</v>
      </c>
      <c r="D5" s="32" t="s">
        <v>325</v>
      </c>
      <c r="E5" s="32" t="s">
        <v>326</v>
      </c>
      <c r="F5" s="32" t="s">
        <v>327</v>
      </c>
    </row>
    <row r="6" customFormat="false" ht="15" hidden="false" customHeight="false" outlineLevel="0" collapsed="false">
      <c r="B6" s="32"/>
      <c r="C6" s="32"/>
      <c r="D6" s="32"/>
      <c r="E6" s="32"/>
      <c r="F6" s="32"/>
    </row>
    <row r="7" customFormat="false" ht="15" hidden="false" customHeight="false" outlineLevel="0" collapsed="false">
      <c r="B7" s="32"/>
      <c r="C7" s="32"/>
      <c r="D7" s="32"/>
      <c r="E7" s="32"/>
      <c r="F7" s="32"/>
    </row>
    <row r="8" customFormat="false" ht="15" hidden="false" customHeight="false" outlineLevel="0" collapsed="false">
      <c r="B8" s="32"/>
      <c r="C8" s="32"/>
      <c r="D8" s="32"/>
      <c r="E8" s="32"/>
      <c r="F8" s="32"/>
    </row>
    <row r="9" customFormat="false" ht="15" hidden="false" customHeight="false" outlineLevel="0" collapsed="false">
      <c r="B9" s="32"/>
      <c r="C9" s="32"/>
      <c r="D9" s="32"/>
      <c r="E9" s="32"/>
      <c r="F9" s="32"/>
    </row>
    <row r="10" customFormat="false" ht="15" hidden="false" customHeight="false" outlineLevel="0" collapsed="false">
      <c r="B10" s="32"/>
      <c r="C10" s="32"/>
      <c r="D10" s="32"/>
      <c r="E10" s="32"/>
      <c r="F10" s="32"/>
    </row>
    <row r="11" customFormat="false" ht="15" hidden="false" customHeight="false" outlineLevel="0" collapsed="false">
      <c r="B11" s="32"/>
      <c r="C11" s="32"/>
      <c r="D11" s="32"/>
      <c r="E11" s="32"/>
      <c r="F11" s="32"/>
    </row>
    <row r="12" customFormat="false" ht="15" hidden="false" customHeight="false" outlineLevel="0" collapsed="false">
      <c r="B12" s="32"/>
      <c r="C12" s="32"/>
      <c r="D12" s="32"/>
      <c r="E12" s="32"/>
      <c r="F12" s="32"/>
    </row>
    <row r="13" customFormat="false" ht="15" hidden="false" customHeight="false" outlineLevel="0" collapsed="false">
      <c r="B13" s="32"/>
      <c r="C13" s="32"/>
      <c r="D13" s="32"/>
      <c r="E13" s="32"/>
      <c r="F13" s="32"/>
    </row>
    <row r="14" customFormat="false" ht="15" hidden="false" customHeight="false" outlineLevel="0" collapsed="false">
      <c r="B14" s="32"/>
      <c r="C14" s="32"/>
      <c r="D14" s="32"/>
      <c r="E14" s="32"/>
      <c r="F14" s="3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2026-08-04T15:32:29Z</dcterms:created>
  <dc:creator>openpyxl</dc:creator>
  <dc:description/>
  <dc:language>en-US</dc:language>
  <cp:lastModifiedBy/>
  <dcterms:modified xsi:type="dcterms:W3CDTF">2026-08-04T15:32:32Z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