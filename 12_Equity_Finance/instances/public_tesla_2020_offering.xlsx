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stitutional Surface" sheetId="2" state="visible" r:id="rId2"/>
    <sheet xmlns:r="http://schemas.openxmlformats.org/officeDocument/2006/relationships" name="Challenge Log" sheetId="3" state="visible" r:id="rId3"/>
    <sheet xmlns:r="http://schemas.openxmlformats.org/officeDocument/2006/relationships" name="Lineage Map" sheetId="4" state="visible" r:id="rId4"/>
    <sheet xmlns:r="http://schemas.openxmlformats.org/officeDocument/2006/relationships" name="Assumptions" sheetId="5" state="visible" r:id="rId5"/>
    <sheet xmlns:r="http://schemas.openxmlformats.org/officeDocument/2006/relationships" name="Cap Table &amp; Dilution" sheetId="6" state="visible" r:id="rId6"/>
    <sheet xmlns:r="http://schemas.openxmlformats.org/officeDocument/2006/relationships" name="Rights Offering" sheetId="7" state="visible" r:id="rId7"/>
    <sheet xmlns:r="http://schemas.openxmlformats.org/officeDocument/2006/relationships" name="Convertible Securities" sheetId="8" state="visible" r:id="rId8"/>
    <sheet xmlns:r="http://schemas.openxmlformats.org/officeDocument/2006/relationships" name="Decision &amp; Checks" sheetId="9" state="visible" r:id="rId9"/>
    <sheet xmlns:r="http://schemas.openxmlformats.org/officeDocument/2006/relationships" name="IS" sheetId="10" state="visible" r:id="rId10"/>
    <sheet xmlns:r="http://schemas.openxmlformats.org/officeDocument/2006/relationships" name="BS" sheetId="11" state="visible" r:id="rId11"/>
    <sheet xmlns:r="http://schemas.openxmlformats.org/officeDocument/2006/relationships" name="CF" sheetId="12" state="visible" r:id="rId12"/>
    <sheet xmlns:r="http://schemas.openxmlformats.org/officeDocument/2006/relationships" name="DCF" sheetId="13" state="visible" r:id="rId13"/>
    <sheet xmlns:r="http://schemas.openxmlformats.org/officeDocument/2006/relationships" name="Comps" sheetId="14" state="visible" r:id="rId14"/>
    <sheet xmlns:r="http://schemas.openxmlformats.org/officeDocument/2006/relationships" name="Sensitivity" sheetId="15" state="visible" r:id="rId15"/>
    <sheet xmlns:r="http://schemas.openxmlformats.org/officeDocument/2006/relationships" name="RefreshLog" sheetId="16" state="visible" r:id="rId16"/>
  </sheets>
  <definedNames>
    <definedName name="FS_MODEL_ID">'Institutional Surface'!$C$4</definedName>
    <definedName name="FS_DOMAIN">'Institutional Surface'!$C$5</definedName>
    <definedName name="FS_MATURITY">'Institutional Surface'!$C$6</definedName>
  </definedNames>
  <calcPr calcId="124519" calcMode="auto" fullCalcOnLoad="1" forceFullCalc="1"/>
</workbook>
</file>

<file path=xl/styles.xml><?xml version="1.0" encoding="utf-8"?>
<styleSheet xmlns="http://schemas.openxmlformats.org/spreadsheetml/2006/main">
  <numFmts count="8">
    <numFmt numFmtId="164" formatCode="0.0%;(0.0%);&quot;-&quot;"/>
    <numFmt numFmtId="165" formatCode="$#,##0;($#,##0);&quot;-&quot;"/>
    <numFmt numFmtId="166" formatCode="#,##0.0"/>
    <numFmt numFmtId="167" formatCode="0.000"/>
    <numFmt numFmtId="168" formatCode="0.0x"/>
    <numFmt numFmtId="169" formatCode="#,##0;(#,##0);&quot;-&quot;"/>
    <numFmt numFmtId="170" formatCode="$#,##0.00;($#,##0.00);&quot;-&quot;"/>
    <numFmt numFmtId="171" formatCode="0.0"/>
  </numFmts>
  <fonts count="12">
    <font>
      <name val="Calibri"/>
      <family val="2"/>
      <color theme="1"/>
      <sz val="11"/>
      <scheme val="minor"/>
    </font>
    <font>
      <name val="Arial"/>
      <b val="1"/>
      <sz val="16"/>
    </font>
    <font>
      <name val="Arial"/>
      <b val="1"/>
      <sz val="10"/>
    </font>
    <font>
      <name val="Arial"/>
      <color rgb="000000FF"/>
      <sz val="10"/>
    </font>
    <font>
      <name val="Arial"/>
      <color rgb="00000000"/>
      <sz val="10"/>
    </font>
    <font>
      <name val="Arial"/>
      <color rgb="00008000"/>
      <sz val="10"/>
    </font>
    <font>
      <name val="Arial"/>
      <b val="1"/>
      <color rgb="00FFFFFF"/>
      <sz val="11"/>
    </font>
    <font>
      <name val="Arial"/>
      <i val="1"/>
      <color rgb="00808080"/>
      <sz val="9"/>
    </font>
    <font>
      <name val="Arial"/>
      <i val="1"/>
      <color rgb="00808080"/>
      <sz val="8"/>
    </font>
    <font>
      <b val="1"/>
      <color rgb="00FFFFFF"/>
      <sz val="15"/>
    </font>
    <font>
      <b val="1"/>
    </font>
    <font>
      <b val="1"/>
      <color rgb="00FFFFFF"/>
    </font>
  </fonts>
  <fills count="8">
    <fill>
      <patternFill/>
    </fill>
    <fill>
      <patternFill patternType="gray125"/>
    </fill>
    <fill>
      <patternFill patternType="solid">
        <fgColor rgb="00FFFF00"/>
        <bgColor rgb="00FFFF00"/>
      </patternFill>
    </fill>
    <fill>
      <patternFill patternType="solid">
        <fgColor rgb="001F4E78"/>
        <bgColor rgb="001F4E78"/>
      </patternFill>
    </fill>
    <fill>
      <patternFill patternType="solid">
        <fgColor rgb="00D9D9D9"/>
        <bgColor rgb="00D9D9D9"/>
      </patternFill>
    </fill>
    <fill>
      <patternFill patternType="solid">
        <fgColor rgb="0017365D"/>
      </patternFill>
    </fill>
    <fill>
      <patternFill patternType="solid">
        <fgColor rgb="00D9EAF7"/>
      </patternFill>
    </fill>
    <fill>
      <patternFill patternType="solid">
        <fgColor rgb="00FFFF00"/>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B7B7B7"/>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2" borderId="0" pivotButton="0" quotePrefix="0" xfId="0"/>
    <xf numFmtId="0" fontId="6" fillId="3" borderId="0" applyAlignment="1" pivotButton="0" quotePrefix="0" xfId="0">
      <alignment horizontal="center"/>
    </xf>
    <xf numFmtId="164" fontId="3" fillId="2" borderId="1" pivotButton="0" quotePrefix="0" xfId="0"/>
    <xf numFmtId="0" fontId="7" fillId="0" borderId="0" pivotButton="0" quotePrefix="0" xfId="0"/>
    <xf numFmtId="164" fontId="3" fillId="0" borderId="1" pivotButton="0" quotePrefix="0" xfId="0"/>
    <xf numFmtId="165" fontId="3" fillId="0" borderId="1" pivotButton="0" quotePrefix="0" xfId="0"/>
    <xf numFmtId="165" fontId="3" fillId="2" borderId="1" pivotButton="0" quotePrefix="0" xfId="0"/>
    <xf numFmtId="165" fontId="4" fillId="0" borderId="1" pivotButton="0" quotePrefix="0" xfId="0"/>
    <xf numFmtId="164" fontId="4" fillId="0" borderId="1" pivotButton="0" quotePrefix="0" xfId="0"/>
    <xf numFmtId="166" fontId="3" fillId="2" borderId="1" pivotButton="0" quotePrefix="0" xfId="0"/>
    <xf numFmtId="0" fontId="8" fillId="0" borderId="0" pivotButton="0" quotePrefix="0" xfId="0"/>
    <xf numFmtId="165" fontId="0" fillId="0" borderId="1" pivotButton="0" quotePrefix="0" xfId="0"/>
    <xf numFmtId="165" fontId="5" fillId="0" borderId="1" pivotButton="0" quotePrefix="0" xfId="0"/>
    <xf numFmtId="165" fontId="5" fillId="0" borderId="0" pivotButton="0" quotePrefix="0" xfId="0"/>
    <xf numFmtId="164" fontId="3" fillId="2" borderId="0" pivotButton="0" quotePrefix="0" xfId="0"/>
    <xf numFmtId="167" fontId="0" fillId="0" borderId="0" pivotButton="0" quotePrefix="0" xfId="0"/>
    <xf numFmtId="165" fontId="0" fillId="0" borderId="0" pivotButton="0" quotePrefix="0" xfId="0"/>
    <xf numFmtId="165" fontId="2" fillId="0" borderId="0" pivotButton="0" quotePrefix="0" xfId="0"/>
    <xf numFmtId="165" fontId="3" fillId="0" borderId="0" pivotButton="0" quotePrefix="0" xfId="0"/>
    <xf numFmtId="168" fontId="3" fillId="0" borderId="1" pivotButton="0" quotePrefix="0" xfId="0"/>
    <xf numFmtId="168" fontId="2" fillId="0" borderId="0" pivotButton="0" quotePrefix="0" xfId="0"/>
    <xf numFmtId="0" fontId="2" fillId="4" borderId="0" pivotButton="0" quotePrefix="0" xfId="0"/>
    <xf numFmtId="164" fontId="2" fillId="4" borderId="0" pivotButton="0" quotePrefix="0" xfId="0"/>
    <xf numFmtId="0" fontId="0" fillId="0" borderId="1" pivotButton="0" quotePrefix="0" xfId="0"/>
    <xf numFmtId="169" fontId="3" fillId="0" borderId="1" pivotButton="0" quotePrefix="0" xfId="0"/>
    <xf numFmtId="0" fontId="3" fillId="2" borderId="1" pivotButton="0" quotePrefix="0" xfId="0"/>
    <xf numFmtId="169" fontId="3" fillId="2" borderId="1" pivotButton="0" quotePrefix="0" xfId="0"/>
    <xf numFmtId="169" fontId="0" fillId="0" borderId="1" pivotButton="0" quotePrefix="0" xfId="0"/>
    <xf numFmtId="170" fontId="3" fillId="2" borderId="1" pivotButton="0" quotePrefix="0" xfId="0"/>
    <xf numFmtId="170" fontId="0" fillId="0" borderId="1" pivotButton="0" quotePrefix="0" xfId="0"/>
    <xf numFmtId="164" fontId="0" fillId="0" borderId="1" pivotButton="0" quotePrefix="0" xfId="0"/>
    <xf numFmtId="171" fontId="3" fillId="2" borderId="1" pivotButton="0" quotePrefix="0" xfId="0"/>
    <xf numFmtId="168" fontId="0" fillId="0" borderId="1" pivotButton="0" quotePrefix="0" xfId="0"/>
    <xf numFmtId="0" fontId="2" fillId="0" borderId="1" pivotButton="0" quotePrefix="0" xfId="0"/>
    <xf numFmtId="0" fontId="9" fillId="5" borderId="0" pivotButton="0" quotePrefix="0" xfId="0"/>
    <xf numFmtId="0" fontId="10" fillId="0" borderId="0" pivotButton="0" quotePrefix="0" xfId="0"/>
    <xf numFmtId="0" fontId="0" fillId="0" borderId="0" applyAlignment="1" pivotButton="0" quotePrefix="0" xfId="0">
      <alignment wrapText="1"/>
    </xf>
    <xf numFmtId="0" fontId="11" fillId="5" borderId="0" pivotButton="0" quotePrefix="0" xfId="0"/>
    <xf numFmtId="0" fontId="10" fillId="6" borderId="2" applyAlignment="1" pivotButton="0" quotePrefix="0" xfId="0">
      <alignment wrapText="1"/>
    </xf>
    <xf numFmtId="0" fontId="3" fillId="7" borderId="0" pivotButton="0" quotePrefix="0" xfId="0"/>
    <xf numFmtId="164" fontId="3" fillId="7" borderId="1" pivotButton="0" quotePrefix="0" xfId="0"/>
    <xf numFmtId="169" fontId="3" fillId="7" borderId="1" pivotButton="0" quotePrefix="0" xfId="0"/>
    <xf numFmtId="170" fontId="3" fillId="7" borderId="1" pivotButton="0" quotePrefix="0" xfId="0"/>
    <xf numFmtId="165" fontId="3" fillId="7" borderId="1" pivotButton="0" quotePrefix="0" xfId="0"/>
    <xf numFmtId="166" fontId="3" fillId="7" borderId="1" pivotButton="0" quotePrefix="0" xfId="0"/>
    <xf numFmtId="164" fontId="3" fillId="7" borderId="0" pivotButton="0" quotePrefix="0" xfId="0"/>
    <xf numFmtId="165"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0"/>
  <sheetViews>
    <sheetView showGridLines="0" workbookViewId="0">
      <selection activeCell="A1" sqref="A1"/>
    </sheetView>
  </sheetViews>
  <sheetFormatPr baseColWidth="8" defaultRowHeight="15"/>
  <cols>
    <col width="4" customWidth="1" min="1" max="1"/>
    <col width="30" customWidth="1" min="2" max="2"/>
    <col width="40" customWidth="1" min="3" max="3"/>
    <col width="4" customWidth="1" min="4" max="4"/>
  </cols>
  <sheetData>
    <row r="1"/>
    <row r="2">
      <c r="B2" s="1" t="inlineStr">
        <is>
          <t>[ISSUER] — Equity Finance, Dilution, and Capital Structure</t>
        </is>
      </c>
    </row>
    <row r="3"/>
    <row r="4">
      <c r="B4" s="2" t="inlineStr">
        <is>
          <t>Issuer / security:</t>
        </is>
      </c>
      <c r="C4" s="45" t="inlineStr">
        <is>
          <t>Tesla February 2020 underwritten primary offering</t>
        </is>
      </c>
    </row>
    <row r="5">
      <c r="B5" s="2" t="inlineStr">
        <is>
          <t>Coverage started:</t>
        </is>
      </c>
      <c r="C5" s="3" t="inlineStr">
        <is>
          <t>[date]</t>
        </is>
      </c>
    </row>
    <row r="6">
      <c r="B6" s="2" t="inlineStr">
        <is>
          <t>Last refreshed:</t>
        </is>
      </c>
      <c r="C6" s="45" t="inlineStr">
        <is>
          <t>2020-02-14</t>
        </is>
      </c>
    </row>
    <row r="7">
      <c r="B7" s="2" t="inlineStr">
        <is>
          <t>Next financing / shareholder date:</t>
        </is>
      </c>
      <c r="C7" s="3" t="inlineStr">
        <is>
          <t>[date]</t>
        </is>
      </c>
    </row>
    <row r="8">
      <c r="B8" s="2" t="inlineStr">
        <is>
          <t>Refresh cadence:</t>
        </is>
      </c>
      <c r="C8" s="4" t="inlineStr">
        <is>
          <t>Weekly</t>
        </is>
      </c>
    </row>
    <row r="9"/>
    <row r="10">
      <c r="B10" s="2" t="inlineStr">
        <is>
          <t>Thesis (2-3 sentences):</t>
        </is>
      </c>
    </row>
    <row r="11">
      <c r="B11" s="3" t="inlineStr">
        <is>
          <t>[fill in]</t>
        </is>
      </c>
    </row>
    <row r="12"/>
    <row r="13"/>
    <row r="14"/>
    <row r="15"/>
    <row r="16">
      <c r="B16" s="2" t="inlineStr">
        <is>
          <t>COLOR LEGEND</t>
        </is>
      </c>
    </row>
    <row r="17">
      <c r="B17" s="3" t="inlineStr">
        <is>
          <t>Blue text</t>
        </is>
      </c>
      <c r="C17" s="4" t="inlineStr">
        <is>
          <t>Hardcoded input / scenario lever — edit freely</t>
        </is>
      </c>
    </row>
    <row r="18">
      <c r="B18" s="4" t="inlineStr">
        <is>
          <t>Black text</t>
        </is>
      </c>
      <c r="C18" s="4" t="inlineStr">
        <is>
          <t>Formula — do not overwrite</t>
        </is>
      </c>
    </row>
    <row r="19">
      <c r="B19" s="5" t="inlineStr">
        <is>
          <t>Green text</t>
        </is>
      </c>
      <c r="C19" s="4" t="inlineStr">
        <is>
          <t>Link to another sheet in this workbook</t>
        </is>
      </c>
    </row>
    <row r="20">
      <c r="B20" s="6" t="inlineStr">
        <is>
          <t>Yellow fill</t>
        </is>
      </c>
      <c r="C20" s="4" t="inlineStr">
        <is>
          <t>Key assumption — review every refresh</t>
        </is>
      </c>
    </row>
  </sheetData>
  <mergeCells count="1">
    <mergeCell ref="B11: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6" customWidth="1" min="2" max="2"/>
    <col width="48" customWidth="1" min="3" max="3"/>
    <col width="24" customWidth="1" min="4" max="4"/>
    <col width="34" customWidth="1" min="5" max="5"/>
    <col width="20" customWidth="1" min="6" max="6"/>
  </cols>
  <sheetData>
    <row r="2">
      <c r="B2" s="40" t="inlineStr">
        <is>
          <t>Equity Finance — Institutional Decision Surface</t>
        </is>
      </c>
    </row>
    <row r="4">
      <c r="B4" s="41" t="inlineStr">
        <is>
          <t>Model ID</t>
        </is>
      </c>
      <c r="C4" s="42" t="inlineStr">
        <is>
          <t>12</t>
        </is>
      </c>
    </row>
    <row r="5">
      <c r="B5" s="41" t="inlineStr">
        <is>
          <t>Domain</t>
        </is>
      </c>
      <c r="C5" s="42" t="inlineStr">
        <is>
          <t>Equity Finance</t>
        </is>
      </c>
    </row>
    <row r="6">
      <c r="B6" s="41" t="inlineStr">
        <is>
          <t>Declared maturity</t>
        </is>
      </c>
      <c r="C6" s="42" t="inlineStr">
        <is>
          <t>M2</t>
        </is>
      </c>
    </row>
    <row r="7">
      <c r="B7" s="41" t="inlineStr">
        <is>
          <t>Canonical builder</t>
        </is>
      </c>
      <c r="C7" s="42" t="inlineStr">
        <is>
          <t>tools/builders/build_equity_finance_release.py</t>
        </is>
      </c>
    </row>
    <row r="8">
      <c r="B8" s="41" t="inlineStr">
        <is>
          <t>Decision arena</t>
        </is>
      </c>
      <c r="C8" s="42" t="inlineStr">
        <is>
          <t>issuer board, ECM, shareholders, counsel and exchange</t>
        </is>
      </c>
    </row>
    <row r="9">
      <c r="B9" s="41" t="inlineStr">
        <is>
          <t>Committee artifact</t>
        </is>
      </c>
      <c r="C9" s="42" t="inlineStr">
        <is>
          <t>capital raise and dilution memo</t>
        </is>
      </c>
    </row>
    <row r="10">
      <c r="B10" s="41" t="inlineStr">
        <is>
          <t>Operating cadence</t>
        </is>
      </c>
      <c r="C10" s="42" t="inlineStr">
        <is>
          <t>daily during offering; quarterly cap table</t>
        </is>
      </c>
    </row>
    <row r="12">
      <c r="B12" s="43" t="inlineStr">
        <is>
          <t>Key decision outputs</t>
        </is>
      </c>
    </row>
    <row r="13">
      <c r="B13" s="44" t="inlineStr">
        <is>
          <t>#</t>
        </is>
      </c>
      <c r="C13" s="44" t="inlineStr">
        <is>
          <t>Requirement</t>
        </is>
      </c>
      <c r="D13" s="44" t="inlineStr">
        <is>
          <t>Owner</t>
        </is>
      </c>
      <c r="E13" s="44" t="inlineStr">
        <is>
          <t>Evidence / location</t>
        </is>
      </c>
      <c r="F13" s="44" t="inlineStr">
        <is>
          <t>Status</t>
        </is>
      </c>
    </row>
    <row r="14">
      <c r="B14" t="n">
        <v>1</v>
      </c>
      <c r="C14" t="inlineStr">
        <is>
          <t>gross and net proceeds</t>
        </is>
      </c>
      <c r="F14" t="inlineStr">
        <is>
          <t>OPEN</t>
        </is>
      </c>
    </row>
    <row r="15">
      <c r="B15" t="n">
        <v>2</v>
      </c>
      <c r="C15" t="inlineStr">
        <is>
          <t>pro forma ownership and dilution</t>
        </is>
      </c>
      <c r="F15" t="inlineStr">
        <is>
          <t>OPEN</t>
        </is>
      </c>
    </row>
    <row r="16">
      <c r="B16" t="n">
        <v>3</v>
      </c>
      <c r="C16" t="inlineStr">
        <is>
          <t>rights take-up / backstop need</t>
        </is>
      </c>
      <c r="F16" t="inlineStr">
        <is>
          <t>OPEN</t>
        </is>
      </c>
    </row>
    <row r="17">
      <c r="B17" t="n">
        <v>4</v>
      </c>
      <c r="C17" t="inlineStr">
        <is>
          <t>base, downside and break-even outputs</t>
        </is>
      </c>
      <c r="F17" t="inlineStr">
        <is>
          <t>OPEN</t>
        </is>
      </c>
    </row>
    <row r="18">
      <c r="B18" t="n">
        <v>5</v>
      </c>
      <c r="C18" t="inlineStr">
        <is>
          <t>liquidity / funding requirement and binding constraint</t>
        </is>
      </c>
      <c r="F18" t="inlineStr">
        <is>
          <t>OPEN</t>
        </is>
      </c>
    </row>
    <row r="20">
      <c r="B20" s="43" t="inlineStr">
        <is>
          <t>Insider questions</t>
        </is>
      </c>
    </row>
    <row r="21">
      <c r="B21" s="44" t="inlineStr">
        <is>
          <t>#</t>
        </is>
      </c>
      <c r="C21" s="44" t="inlineStr">
        <is>
          <t>Requirement</t>
        </is>
      </c>
      <c r="D21" s="44" t="inlineStr">
        <is>
          <t>Owner</t>
        </is>
      </c>
      <c r="E21" s="44" t="inlineStr">
        <is>
          <t>Evidence / location</t>
        </is>
      </c>
      <c r="F21" s="44" t="inlineStr">
        <is>
          <t>Status</t>
        </is>
      </c>
    </row>
    <row r="22">
      <c r="B22" t="n">
        <v>1</v>
      </c>
      <c r="C22" t="inlineStr">
        <is>
          <t>What is the real free float after locks?</t>
        </is>
      </c>
      <c r="F22" t="inlineStr">
        <is>
          <t>OPEN</t>
        </is>
      </c>
    </row>
    <row r="23">
      <c r="B23" t="n">
        <v>2</v>
      </c>
      <c r="C23" t="inlineStr">
        <is>
          <t>Who is economically short through hedges?</t>
        </is>
      </c>
      <c r="F23" t="inlineStr">
        <is>
          <t>OPEN</t>
        </is>
      </c>
    </row>
    <row r="24">
      <c r="B24" t="n">
        <v>3</v>
      </c>
      <c r="C24" t="inlineStr">
        <is>
          <t>What is the break price after fees?</t>
        </is>
      </c>
      <c r="F24" t="inlineStr">
        <is>
          <t>OPEN</t>
        </is>
      </c>
    </row>
    <row r="25">
      <c r="B25" t="n">
        <v>4</v>
      </c>
      <c r="C25" t="inlineStr">
        <is>
          <t>Which assumption is owner-approved versus modeler judgement?</t>
        </is>
      </c>
      <c r="F25" t="inlineStr">
        <is>
          <t>OPEN</t>
        </is>
      </c>
    </row>
    <row r="26">
      <c r="B26" t="n">
        <v>5</v>
      </c>
      <c r="C26" t="inlineStr">
        <is>
          <t>What fails first and who must act?</t>
        </is>
      </c>
      <c r="F26" t="inlineStr">
        <is>
          <t>OPEN</t>
        </is>
      </c>
    </row>
    <row r="28">
      <c r="B28" s="43" t="inlineStr">
        <is>
          <t>Scenario families</t>
        </is>
      </c>
    </row>
    <row r="29">
      <c r="B29" s="44" t="inlineStr">
        <is>
          <t>#</t>
        </is>
      </c>
      <c r="C29" s="44" t="inlineStr">
        <is>
          <t>Requirement</t>
        </is>
      </c>
      <c r="D29" s="44" t="inlineStr">
        <is>
          <t>Owner</t>
        </is>
      </c>
      <c r="E29" s="44" t="inlineStr">
        <is>
          <t>Evidence / location</t>
        </is>
      </c>
      <c r="F29" s="44" t="inlineStr">
        <is>
          <t>Status</t>
        </is>
      </c>
    </row>
    <row r="30">
      <c r="B30" t="n">
        <v>1</v>
      </c>
      <c r="C30" t="inlineStr">
        <is>
          <t>discount and market break</t>
        </is>
      </c>
      <c r="F30" t="inlineStr">
        <is>
          <t>OPEN</t>
        </is>
      </c>
    </row>
    <row r="31">
      <c r="B31" t="n">
        <v>2</v>
      </c>
      <c r="C31" t="inlineStr">
        <is>
          <t>rights under-subscription</t>
        </is>
      </c>
      <c r="F31" t="inlineStr">
        <is>
          <t>OPEN</t>
        </is>
      </c>
    </row>
    <row r="32">
      <c r="B32" t="n">
        <v>3</v>
      </c>
      <c r="C32" t="inlineStr">
        <is>
          <t>convertible dilution</t>
        </is>
      </c>
      <c r="F32" t="inlineStr">
        <is>
          <t>OPEN</t>
        </is>
      </c>
    </row>
    <row r="33">
      <c r="B33" t="n">
        <v>4</v>
      </c>
      <c r="C33" t="inlineStr">
        <is>
          <t>data freshness / source failure</t>
        </is>
      </c>
      <c r="F33" t="inlineStr">
        <is>
          <t>OPEN</t>
        </is>
      </c>
    </row>
    <row r="34">
      <c r="B34" t="n">
        <v>5</v>
      </c>
      <c r="C34" t="inlineStr">
        <is>
          <t>combined severe-but-plausible downside</t>
        </is>
      </c>
      <c r="F34" t="inlineStr">
        <is>
          <t>OPEN</t>
        </is>
      </c>
    </row>
    <row r="36">
      <c r="B36" s="43" t="inlineStr">
        <is>
          <t>Primary diligence documents</t>
        </is>
      </c>
    </row>
    <row r="37">
      <c r="B37" s="44" t="inlineStr">
        <is>
          <t>#</t>
        </is>
      </c>
      <c r="C37" s="44" t="inlineStr">
        <is>
          <t>Requirement</t>
        </is>
      </c>
      <c r="D37" s="44" t="inlineStr">
        <is>
          <t>Owner</t>
        </is>
      </c>
      <c r="E37" s="44" t="inlineStr">
        <is>
          <t>Evidence / location</t>
        </is>
      </c>
      <c r="F37" s="44" t="inlineStr">
        <is>
          <t>Status</t>
        </is>
      </c>
    </row>
    <row r="38">
      <c r="B38" t="n">
        <v>1</v>
      </c>
      <c r="C38" t="inlineStr">
        <is>
          <t>registration statement / prospectus</t>
        </is>
      </c>
      <c r="F38" t="inlineStr">
        <is>
          <t>OPEN</t>
        </is>
      </c>
    </row>
    <row r="39">
      <c r="B39" t="n">
        <v>2</v>
      </c>
      <c r="C39" t="inlineStr">
        <is>
          <t>underwriting agreement</t>
        </is>
      </c>
      <c r="F39" t="inlineStr">
        <is>
          <t>OPEN</t>
        </is>
      </c>
    </row>
    <row r="40">
      <c r="B40" t="n">
        <v>3</v>
      </c>
      <c r="C40" t="inlineStr">
        <is>
          <t>shareholder register</t>
        </is>
      </c>
      <c r="F40" t="inlineStr">
        <is>
          <t>OPEN</t>
        </is>
      </c>
    </row>
    <row r="41">
      <c r="B41" t="n">
        <v>4</v>
      </c>
      <c r="C41" t="inlineStr">
        <is>
          <t>approved model card and assumption register</t>
        </is>
      </c>
      <c r="F41" t="inlineStr">
        <is>
          <t>OPEN</t>
        </is>
      </c>
    </row>
    <row r="42">
      <c r="B42" t="n">
        <v>5</v>
      </c>
      <c r="C42" t="inlineStr">
        <is>
          <t>independent validation and challenge record</t>
        </is>
      </c>
      <c r="F42" t="inlineStr">
        <is>
          <t>OPEN</t>
        </is>
      </c>
    </row>
    <row r="44">
      <c r="B44" s="43" t="inlineStr">
        <is>
          <t>Challenge tests</t>
        </is>
      </c>
    </row>
    <row r="45">
      <c r="B45" s="44" t="inlineStr">
        <is>
          <t>#</t>
        </is>
      </c>
      <c r="C45" s="44" t="inlineStr">
        <is>
          <t>Requirement</t>
        </is>
      </c>
      <c r="D45" s="44" t="inlineStr">
        <is>
          <t>Owner</t>
        </is>
      </c>
      <c r="E45" s="44" t="inlineStr">
        <is>
          <t>Evidence / location</t>
        </is>
      </c>
      <c r="F45" s="44" t="inlineStr">
        <is>
          <t>Status</t>
        </is>
      </c>
    </row>
    <row r="46">
      <c r="B46" t="n">
        <v>1</v>
      </c>
      <c r="C46" t="inlineStr">
        <is>
          <t>proceeds reconcile</t>
        </is>
      </c>
      <c r="F46" t="inlineStr">
        <is>
          <t>OPEN</t>
        </is>
      </c>
    </row>
    <row r="47">
      <c r="B47" t="n">
        <v>2</v>
      </c>
      <c r="C47" t="inlineStr">
        <is>
          <t>ownership sums to 100%</t>
        </is>
      </c>
      <c r="F47" t="inlineStr">
        <is>
          <t>OPEN</t>
        </is>
      </c>
    </row>
    <row r="48">
      <c r="B48" t="n">
        <v>3</v>
      </c>
      <c r="C48" t="inlineStr">
        <is>
          <t>dilution includes options and convertibles</t>
        </is>
      </c>
      <c r="F48" t="inlineStr">
        <is>
          <t>OPEN</t>
        </is>
      </c>
    </row>
    <row r="49">
      <c r="B49" t="n">
        <v>4</v>
      </c>
      <c r="C49" t="inlineStr">
        <is>
          <t>source-to-model lineage is reproducible</t>
        </is>
      </c>
      <c r="F49" t="inlineStr">
        <is>
          <t>OPEN</t>
        </is>
      </c>
    </row>
    <row r="50">
      <c r="B50" t="n">
        <v>5</v>
      </c>
      <c r="C50" t="inlineStr">
        <is>
          <t>units, signs, dates and legal definitions reconcile</t>
        </is>
      </c>
      <c r="F50" t="inlineStr">
        <is>
          <t>OPEN</t>
        </is>
      </c>
    </row>
    <row r="52">
      <c r="B52" s="43" t="inlineStr">
        <is>
          <t>Known failure modes</t>
        </is>
      </c>
    </row>
    <row r="53">
      <c r="B53" s="44" t="inlineStr">
        <is>
          <t>#</t>
        </is>
      </c>
      <c r="C53" s="44" t="inlineStr">
        <is>
          <t>Requirement</t>
        </is>
      </c>
      <c r="D53" s="44" t="inlineStr">
        <is>
          <t>Owner</t>
        </is>
      </c>
      <c r="E53" s="44" t="inlineStr">
        <is>
          <t>Evidence / location</t>
        </is>
      </c>
      <c r="F53" s="44" t="inlineStr">
        <is>
          <t>Status</t>
        </is>
      </c>
    </row>
    <row r="54">
      <c r="B54" t="n">
        <v>1</v>
      </c>
      <c r="C54" t="inlineStr">
        <is>
          <t>using basic shares for valuation</t>
        </is>
      </c>
      <c r="F54" t="inlineStr">
        <is>
          <t>OPEN</t>
        </is>
      </c>
    </row>
    <row r="55">
      <c r="B55" t="n">
        <v>2</v>
      </c>
      <c r="C55" t="inlineStr">
        <is>
          <t>ignoring greenshoe and warrants</t>
        </is>
      </c>
      <c r="F55" t="inlineStr">
        <is>
          <t>OPEN</t>
        </is>
      </c>
    </row>
    <row r="56">
      <c r="B56" t="n">
        <v>3</v>
      </c>
      <c r="C56" t="inlineStr">
        <is>
          <t>treating convertibles as debt or equity in all cases</t>
        </is>
      </c>
      <c r="F56" t="inlineStr">
        <is>
          <t>OPEN</t>
        </is>
      </c>
    </row>
    <row r="57">
      <c r="B57" t="n">
        <v>4</v>
      </c>
      <c r="C57" t="inlineStr">
        <is>
          <t>stale vintage presented as current</t>
        </is>
      </c>
      <c r="F57" t="inlineStr">
        <is>
          <t>OPEN</t>
        </is>
      </c>
    </row>
    <row r="58">
      <c r="B58" t="n">
        <v>5</v>
      </c>
      <c r="C58" t="inlineStr">
        <is>
          <t>decision output disconnected from a binding constraint</t>
        </is>
      </c>
      <c r="F58" t="inlineStr">
        <is>
          <t>OPEN</t>
        </is>
      </c>
    </row>
    <row r="60">
      <c r="B60" s="43" t="inlineStr">
        <is>
          <t>Regulatory / methodological anchors</t>
        </is>
      </c>
    </row>
    <row r="61">
      <c r="B61" s="44" t="inlineStr">
        <is>
          <t>Standard</t>
        </is>
      </c>
      <c r="C61" s="44" t="inlineStr">
        <is>
          <t>Scope</t>
        </is>
      </c>
      <c r="D61" s="44" t="inlineStr">
        <is>
          <t>Source URL</t>
        </is>
      </c>
      <c r="E61" s="44" t="inlineStr">
        <is>
          <t>Applicability</t>
        </is>
      </c>
      <c r="F61" s="44" t="inlineStr">
        <is>
          <t>Review note</t>
        </is>
      </c>
    </row>
    <row r="62">
      <c r="B62" t="inlineStr">
        <is>
          <t>Federal Reserve SR 26-2 Model Risk Management</t>
        </is>
      </c>
      <c r="C62" t="inlineStr">
        <is>
          <t>governance, validation, change control, monitoring</t>
        </is>
      </c>
      <c r="D62" t="inlineStr">
        <is>
          <t>https://www.federalreserve.gov/supervisionreg/srletters/SR2602.htm</t>
        </is>
      </c>
      <c r="E62" t="inlineStr">
        <is>
          <t>Map explicitly</t>
        </is>
      </c>
    </row>
    <row r="63">
      <c r="B63" t="inlineStr">
        <is>
          <t>SEC Rule 2a-5</t>
        </is>
      </c>
      <c r="C63" t="inlineStr">
        <is>
          <t>fair-value governance and testing</t>
        </is>
      </c>
      <c r="D63" t="inlineStr">
        <is>
          <t>https://www.sec.gov/files/rules/final/2020/ic-34128.pdf</t>
        </is>
      </c>
      <c r="E63" t="inlineStr">
        <is>
          <t>Map explicitly</t>
        </is>
      </c>
    </row>
  </sheetData>
  <mergeCells count="15">
    <mergeCell ref="B44:F44"/>
    <mergeCell ref="C9:F9"/>
    <mergeCell ref="B12:F12"/>
    <mergeCell ref="B2:F2"/>
    <mergeCell ref="C8:F8"/>
    <mergeCell ref="C4:F4"/>
    <mergeCell ref="B20:F20"/>
    <mergeCell ref="B28:F28"/>
    <mergeCell ref="C6:F6"/>
    <mergeCell ref="C7:F7"/>
    <mergeCell ref="B60:F60"/>
    <mergeCell ref="B36:F36"/>
    <mergeCell ref="C10:F10"/>
    <mergeCell ref="C5:F5"/>
    <mergeCell ref="B52:F52"/>
  </mergeCells>
  <dataValidations count="6">
    <dataValidation sqref="F14:F18" showDropDown="0" showInputMessage="0" showErrorMessage="0" allowBlank="0" type="list">
      <formula1>"OPEN,IN REVIEW,CLOSED,NOT APPLICABLE"</formula1>
    </dataValidation>
    <dataValidation sqref="F22:F26" showDropDown="0" showInputMessage="0" showErrorMessage="0" allowBlank="0" type="list">
      <formula1>"OPEN,IN REVIEW,CLOSED,NOT APPLICABLE"</formula1>
    </dataValidation>
    <dataValidation sqref="F30:F34" showDropDown="0" showInputMessage="0" showErrorMessage="0" allowBlank="0" type="list">
      <formula1>"OPEN,IN REVIEW,CLOSED,NOT APPLICABLE"</formula1>
    </dataValidation>
    <dataValidation sqref="F38:F42" showDropDown="0" showInputMessage="0" showErrorMessage="0" allowBlank="0" type="list">
      <formula1>"OPEN,IN REVIEW,CLOSED,NOT APPLICABLE"</formula1>
    </dataValidation>
    <dataValidation sqref="F46:F50" showDropDown="0" showInputMessage="0" showErrorMessage="0" allowBlank="0" type="list">
      <formula1>"OPEN,IN REVIEW,CLOSED,NOT APPLICABLE"</formula1>
    </dataValidation>
    <dataValidation sqref="F54:F58" showDropDown="0" showInputMessage="0" showErrorMessage="0" allowBlank="0" type="list">
      <formula1>"OPEN,IN REVIEW,CLOSED,NOT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3" customWidth="1" min="2" max="2"/>
    <col width="22" customWidth="1" min="3" max="3"/>
    <col width="52" customWidth="1" min="4" max="4"/>
    <col width="46" customWidth="1" min="5" max="5"/>
    <col width="36" customWidth="1" min="6" max="6"/>
    <col width="14" customWidth="1" min="7" max="7"/>
    <col width="18" customWidth="1" min="8" max="8"/>
    <col width="14" customWidth="1" min="9" max="9"/>
  </cols>
  <sheetData>
    <row r="2">
      <c r="B2" s="40" t="inlineStr">
        <is>
          <t>Independent Challenge, Override and Closure Log</t>
        </is>
      </c>
    </row>
    <row r="4">
      <c r="B4" s="44" t="inlineStr">
        <is>
          <t>Date</t>
        </is>
      </c>
      <c r="C4" s="44" t="inlineStr">
        <is>
          <t>Reviewer</t>
        </is>
      </c>
      <c r="D4" s="44" t="inlineStr">
        <is>
          <t>Challenge</t>
        </is>
      </c>
      <c r="E4" s="44" t="inlineStr">
        <is>
          <t>Owner response</t>
        </is>
      </c>
      <c r="F4" s="44" t="inlineStr">
        <is>
          <t>Evidence</t>
        </is>
      </c>
      <c r="G4" s="44" t="inlineStr">
        <is>
          <t>Impact</t>
        </is>
      </c>
      <c r="H4" s="44" t="inlineStr">
        <is>
          <t>Status</t>
        </is>
      </c>
      <c r="I4" s="44" t="inlineStr">
        <is>
          <t>Closure</t>
        </is>
      </c>
    </row>
    <row r="5">
      <c r="D5" t="inlineStr">
        <is>
          <t>proceeds reconcile</t>
        </is>
      </c>
      <c r="H5" t="inlineStr">
        <is>
          <t>OPEN</t>
        </is>
      </c>
    </row>
    <row r="6">
      <c r="D6" t="inlineStr">
        <is>
          <t>ownership sums to 100%</t>
        </is>
      </c>
      <c r="H6" t="inlineStr">
        <is>
          <t>OPEN</t>
        </is>
      </c>
    </row>
    <row r="7">
      <c r="D7" t="inlineStr">
        <is>
          <t>dilution includes options and convertibles</t>
        </is>
      </c>
      <c r="H7" t="inlineStr">
        <is>
          <t>OPEN</t>
        </is>
      </c>
    </row>
    <row r="8">
      <c r="D8" t="inlineStr">
        <is>
          <t>source-to-model lineage is reproducible</t>
        </is>
      </c>
      <c r="H8" t="inlineStr">
        <is>
          <t>OPEN</t>
        </is>
      </c>
    </row>
    <row r="9">
      <c r="D9" t="inlineStr">
        <is>
          <t>units, signs, dates and legal definitions reconcile</t>
        </is>
      </c>
      <c r="H9" t="inlineStr">
        <is>
          <t>OPEN</t>
        </is>
      </c>
    </row>
  </sheetData>
  <mergeCells count="1">
    <mergeCell ref="B2:I2"/>
  </mergeCells>
  <dataValidations count="2">
    <dataValidation sqref="H5:H54" showDropDown="0" showInputMessage="0" showErrorMessage="0" allowBlank="0" type="list">
      <formula1>"OPEN,IN REVIEW,REMEDIATED,ACCEPTED RISK,CLOSED"</formula1>
    </dataValidation>
    <dataValidation sqref="G5:G54" showDropDown="0" showInputMessage="0" showErrorMessage="0" allowBlank="0" type="list">
      <formula1>"LOW,MEDIUM,HIGH,CRITICAL"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8"/>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2" max="2"/>
    <col width="18" customWidth="1" min="3" max="3"/>
    <col width="42" customWidth="1" min="4" max="4"/>
    <col width="24" customWidth="1" min="5" max="5"/>
    <col width="18" customWidth="1" min="6" max="6"/>
    <col width="22" customWidth="1" min="7" max="7"/>
    <col width="42" customWidth="1" min="8" max="8"/>
    <col width="30" customWidth="1" min="9" max="9"/>
    <col width="15" customWidth="1" min="10" max="10"/>
  </cols>
  <sheetData>
    <row r="2">
      <c r="B2" s="40" t="inlineStr">
        <is>
          <t>Source, Transformation, Ownership and Refresh Map</t>
        </is>
      </c>
    </row>
    <row r="4">
      <c r="B4" s="44" t="inlineStr">
        <is>
          <t>Source class</t>
        </is>
      </c>
      <c r="C4" s="44" t="inlineStr">
        <is>
          <t>Cadence</t>
        </is>
      </c>
      <c r="D4" s="44" t="inlineStr">
        <is>
          <t>Control</t>
        </is>
      </c>
      <c r="E4" s="44" t="inlineStr">
        <is>
          <t>System / provider</t>
        </is>
      </c>
      <c r="F4" s="44" t="inlineStr">
        <is>
          <t>As-of</t>
        </is>
      </c>
      <c r="G4" s="44" t="inlineStr">
        <is>
          <t>Owner</t>
        </is>
      </c>
      <c r="H4" s="44" t="inlineStr">
        <is>
          <t>Transform</t>
        </is>
      </c>
      <c r="I4" s="44" t="inlineStr">
        <is>
          <t>Downstream</t>
        </is>
      </c>
      <c r="J4" s="44" t="inlineStr">
        <is>
          <t>Status</t>
        </is>
      </c>
    </row>
    <row r="5">
      <c r="B5" t="inlineStr">
        <is>
          <t>share count</t>
        </is>
      </c>
      <c r="C5" t="inlineStr">
        <is>
          <t>event-driven</t>
        </is>
      </c>
      <c r="D5" t="inlineStr">
        <is>
          <t>basic, diluted and treasury-stock reconciliation</t>
        </is>
      </c>
      <c r="J5" t="inlineStr">
        <is>
          <t>TO MAP</t>
        </is>
      </c>
    </row>
    <row r="6">
      <c r="B6" t="inlineStr">
        <is>
          <t>market price and volume</t>
        </is>
      </c>
      <c r="C6" t="inlineStr">
        <is>
          <t>daily</t>
        </is>
      </c>
      <c r="D6" t="inlineStr">
        <is>
          <t>unaffected and VWAP windows</t>
        </is>
      </c>
      <c r="J6" t="inlineStr">
        <is>
          <t>TO MAP</t>
        </is>
      </c>
    </row>
    <row r="7">
      <c r="B7" t="inlineStr">
        <is>
          <t>model governance evidence</t>
        </is>
      </c>
      <c r="C7" t="inlineStr">
        <is>
          <t>per release</t>
        </is>
      </c>
      <c r="D7" t="inlineStr">
        <is>
          <t>version, reviewer, sign-off and change log</t>
        </is>
      </c>
      <c r="J7" t="inlineStr">
        <is>
          <t>TO MAP</t>
        </is>
      </c>
    </row>
    <row r="8">
      <c r="B8" t="inlineStr">
        <is>
          <t>decision-use snapshot</t>
        </is>
      </c>
      <c r="C8" t="inlineStr">
        <is>
          <t>per decision</t>
        </is>
      </c>
      <c r="D8" t="inlineStr">
        <is>
          <t>immutable as-of date and source receipt</t>
        </is>
      </c>
      <c r="J8" t="inlineStr">
        <is>
          <t>TO MAP</t>
        </is>
      </c>
    </row>
  </sheetData>
  <mergeCells count="1">
    <mergeCell ref="B2:J2"/>
  </mergeCells>
  <dataValidations count="1">
    <dataValidation sqref="J5:J40" showDropDown="0" showInputMessage="0" showErrorMessage="0" allowBlank="0" type="list">
      <formula1>"TO MAP,ACTIVE,STALE,EXCEPTION,RETIRED"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4"/>
  <sheetViews>
    <sheetView showGridLines="0" workbookViewId="0">
      <selection activeCell="A1" sqref="A1"/>
    </sheetView>
  </sheetViews>
  <sheetFormatPr baseColWidth="8" defaultRowHeight="15"/>
  <cols>
    <col width="4" customWidth="1" min="1" max="1"/>
    <col width="30" customWidth="1" min="2" max="2"/>
    <col width="14" customWidth="1" min="3" max="3"/>
    <col width="14" customWidth="1" min="4" max="4"/>
    <col width="14" customWidth="1" min="5" max="5"/>
    <col width="14" customWidth="1" min="6" max="6"/>
    <col width="14" customWidth="1" min="7" max="7"/>
    <col width="40" customWidth="1" min="8" max="8"/>
  </cols>
  <sheetData>
    <row r="2">
      <c r="B2" s="1" t="inlineStr">
        <is>
          <t>Assumptions</t>
        </is>
      </c>
    </row>
    <row r="4">
      <c r="A4" s="7" t="inlineStr"/>
      <c r="B4" s="7" t="inlineStr">
        <is>
          <t>Driver</t>
        </is>
      </c>
      <c r="C4" s="7" t="inlineStr">
        <is>
          <t>FY1</t>
        </is>
      </c>
      <c r="D4" s="7" t="inlineStr">
        <is>
          <t>FY2</t>
        </is>
      </c>
      <c r="E4" s="7" t="inlineStr">
        <is>
          <t>FY3</t>
        </is>
      </c>
      <c r="F4" s="7" t="inlineStr">
        <is>
          <t>FY4</t>
        </is>
      </c>
      <c r="G4" s="7" t="inlineStr">
        <is>
          <t>FY5</t>
        </is>
      </c>
      <c r="H4" s="7" t="inlineStr">
        <is>
          <t>Source / notes</t>
        </is>
      </c>
    </row>
    <row r="5">
      <c r="B5" s="4" t="inlineStr">
        <is>
          <t>Revenue growth %</t>
        </is>
      </c>
      <c r="C5" s="46" t="n">
        <v>0.445733</v>
      </c>
      <c r="D5" s="46" t="n">
        <v>0.37061</v>
      </c>
      <c r="E5" s="46" t="n">
        <v>0.295487</v>
      </c>
      <c r="F5" s="46" t="n">
        <v>0.220363</v>
      </c>
      <c r="G5" s="46" t="n">
        <v>0.14524</v>
      </c>
      <c r="H5" s="9" t="inlineStr">
        <is>
          <t>Source: [10-K/10-Q cite or user estimate]</t>
        </is>
      </c>
    </row>
    <row r="6">
      <c r="B6" s="4" t="inlineStr">
        <is>
          <t>Gross margin %</t>
        </is>
      </c>
      <c r="C6" s="46" t="n">
        <v>0.165555</v>
      </c>
      <c r="D6" s="46" t="n">
        <v>0.165555</v>
      </c>
      <c r="E6" s="46" t="n">
        <v>0.165555</v>
      </c>
      <c r="F6" s="46" t="n">
        <v>0.165555</v>
      </c>
      <c r="G6" s="46" t="n">
        <v>0.165555</v>
      </c>
      <c r="H6" s="9" t="inlineStr">
        <is>
          <t>Source: [10-K/10-Q cite or user estimate]</t>
        </is>
      </c>
    </row>
    <row r="7">
      <c r="B7" s="4" t="inlineStr">
        <is>
          <t>Opex % of revenue</t>
        </is>
      </c>
      <c r="C7" s="46" t="n">
        <v>0.080723</v>
      </c>
      <c r="D7" s="46" t="n">
        <v>0.080723</v>
      </c>
      <c r="E7" s="46" t="n">
        <v>0.080723</v>
      </c>
      <c r="F7" s="46" t="n">
        <v>0.080723</v>
      </c>
      <c r="G7" s="46" t="n">
        <v>0.080723</v>
      </c>
      <c r="H7" s="9" t="inlineStr">
        <is>
          <t>Source: [10-K/10-Q cite or user estimate]</t>
        </is>
      </c>
    </row>
    <row r="8">
      <c r="B8" s="4" t="inlineStr">
        <is>
          <t>Tax rate %</t>
        </is>
      </c>
      <c r="C8" s="46" t="n">
        <v>0.21</v>
      </c>
      <c r="D8" s="46" t="n">
        <v>0.21</v>
      </c>
      <c r="E8" s="46" t="n">
        <v>0.21</v>
      </c>
      <c r="F8" s="46" t="n">
        <v>0.21</v>
      </c>
      <c r="G8" s="46" t="n">
        <v>0.21</v>
      </c>
      <c r="H8" s="9" t="inlineStr">
        <is>
          <t>Source: [10-K/10-Q cite or user estimate]</t>
        </is>
      </c>
    </row>
    <row r="9">
      <c r="B9" s="4" t="inlineStr">
        <is>
          <t>D&amp;A % of capex</t>
        </is>
      </c>
      <c r="C9" s="46" t="n">
        <v>1.498956</v>
      </c>
      <c r="D9" s="46" t="n">
        <v>1.498956</v>
      </c>
      <c r="E9" s="46" t="n">
        <v>1.498956</v>
      </c>
      <c r="F9" s="46" t="n">
        <v>1.498956</v>
      </c>
      <c r="G9" s="46" t="n">
        <v>1.498956</v>
      </c>
      <c r="H9" s="9" t="inlineStr">
        <is>
          <t>Source: [10-K/10-Q cite or user estimate]</t>
        </is>
      </c>
    </row>
    <row r="10">
      <c r="B10" s="4" t="inlineStr">
        <is>
          <t>Capex % of revenue</t>
        </is>
      </c>
      <c r="C10" s="46" t="n">
        <v>0.058467</v>
      </c>
      <c r="D10" s="46" t="n">
        <v>0.058467</v>
      </c>
      <c r="E10" s="46" t="n">
        <v>0.058467</v>
      </c>
      <c r="F10" s="46" t="n">
        <v>0.058467</v>
      </c>
      <c r="G10" s="46" t="n">
        <v>0.058467</v>
      </c>
      <c r="H10" s="9" t="inlineStr">
        <is>
          <t>Source: [10-K/10-Q cite or user estimate]</t>
        </is>
      </c>
    </row>
    <row r="11">
      <c r="B11" s="4" t="inlineStr">
        <is>
          <t>NWC % of revenue chg</t>
        </is>
      </c>
      <c r="C11" s="46" t="n">
        <v>0.470816</v>
      </c>
      <c r="D11" s="46" t="n">
        <v>0.470816</v>
      </c>
      <c r="E11" s="46" t="n">
        <v>0.470816</v>
      </c>
      <c r="F11" s="46" t="n">
        <v>0.470816</v>
      </c>
      <c r="G11" s="46" t="n">
        <v>0.470816</v>
      </c>
      <c r="H11" s="9" t="inlineStr">
        <is>
          <t>Source: [10-K/10-Q cite or user estimate]</t>
        </is>
      </c>
    </row>
    <row r="12">
      <c r="B12" s="4" t="inlineStr">
        <is>
          <t>Shares outstanding (mm)</t>
        </is>
      </c>
      <c r="C12" s="30">
        <f>'Cap Table &amp; Dilution'!E19</f>
        <v/>
      </c>
      <c r="D12" s="30">
        <f>'Cap Table &amp; Dilution'!E19</f>
        <v/>
      </c>
      <c r="E12" s="30">
        <f>'Cap Table &amp; Dilution'!E19</f>
        <v/>
      </c>
      <c r="F12" s="30">
        <f>'Cap Table &amp; Dilution'!E19</f>
        <v/>
      </c>
      <c r="G12" s="30">
        <f>'Cap Table &amp; Dilution'!E19</f>
        <v/>
      </c>
      <c r="H12" s="9" t="inlineStr">
        <is>
          <t>Source: [10-K/10-Q cite or user estimate]</t>
        </is>
      </c>
    </row>
    <row r="13">
      <c r="B13" s="4" t="inlineStr">
        <is>
          <t>WACC %</t>
        </is>
      </c>
      <c r="C13" s="46" t="n">
        <v>0.095</v>
      </c>
      <c r="D13" s="46" t="n">
        <v>0.095</v>
      </c>
      <c r="E13" s="46" t="n">
        <v>0.095</v>
      </c>
      <c r="F13" s="46" t="n">
        <v>0.095</v>
      </c>
      <c r="G13" s="46" t="n">
        <v>0.095</v>
      </c>
      <c r="H13" s="9" t="inlineStr">
        <is>
          <t>Source: [10-K/10-Q cite or user estimate]</t>
        </is>
      </c>
    </row>
    <row r="14">
      <c r="B14" s="4" t="inlineStr">
        <is>
          <t>Terminal growth %</t>
        </is>
      </c>
      <c r="C14" s="46" t="n">
        <v>0.025</v>
      </c>
      <c r="D14" s="46" t="n">
        <v>0.025</v>
      </c>
      <c r="E14" s="46" t="n">
        <v>0.025</v>
      </c>
      <c r="F14" s="46" t="n">
        <v>0.025</v>
      </c>
      <c r="G14" s="46" t="n">
        <v>0.025</v>
      </c>
      <c r="H14" s="9" t="inlineStr">
        <is>
          <t>Source: [10-K/10-Q cite or user estimate]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2" customWidth="1" min="2" max="2"/>
    <col width="18" customWidth="1" min="3" max="3"/>
    <col width="18" customWidth="1" min="4" max="4"/>
    <col width="18" customWidth="1" min="5" max="5"/>
    <col width="46" customWidth="1" min="6" max="6"/>
  </cols>
  <sheetData>
    <row r="2">
      <c r="B2" s="1" t="inlineStr">
        <is>
          <t>Fully Diluted Cap Table and Ownership Attribution</t>
        </is>
      </c>
    </row>
    <row r="3">
      <c r="B3" t="inlineStr">
        <is>
          <t>Active scenario</t>
        </is>
      </c>
      <c r="C3" s="31" t="inlineStr">
        <is>
          <t>Base</t>
        </is>
      </c>
    </row>
    <row r="4">
      <c r="B4" s="7" t="inlineStr">
        <is>
          <t>Metric</t>
        </is>
      </c>
      <c r="C4" s="7" t="inlineStr">
        <is>
          <t>Base</t>
        </is>
      </c>
      <c r="D4" s="7" t="inlineStr">
        <is>
          <t>Adversarial</t>
        </is>
      </c>
      <c r="E4" s="7" t="inlineStr">
        <is>
          <t>Active</t>
        </is>
      </c>
      <c r="F4" s="7" t="inlineStr">
        <is>
          <t>Owner / interpretation</t>
        </is>
      </c>
    </row>
    <row r="5">
      <c r="B5" t="inlineStr">
        <is>
          <t>Existing common shares</t>
        </is>
      </c>
      <c r="C5" s="47" t="n">
        <v>179.7</v>
      </c>
      <c r="D5" s="32" t="n">
        <v>100</v>
      </c>
      <c r="E5" s="33">
        <f>IF($C$3="Adversarial",D5,C5)</f>
        <v/>
      </c>
      <c r="F5" t="inlineStr">
        <is>
          <t>pre-transaction issued common</t>
        </is>
      </c>
    </row>
    <row r="6">
      <c r="B6" t="inlineStr">
        <is>
          <t>In-the-money options / RSUs</t>
        </is>
      </c>
      <c r="C6" s="32" t="n">
        <v>5</v>
      </c>
      <c r="D6" s="32" t="n">
        <v>20</v>
      </c>
      <c r="E6" s="33">
        <f>IF($C$3="Adversarial",D6,C6)</f>
        <v/>
      </c>
      <c r="F6" t="inlineStr">
        <is>
          <t>treasury-stock or approved dilution method</t>
        </is>
      </c>
    </row>
    <row r="7">
      <c r="B7" t="inlineStr">
        <is>
          <t>Primary shares issued</t>
        </is>
      </c>
      <c r="C7" s="47" t="n">
        <v>2.65</v>
      </c>
      <c r="D7" s="32" t="n">
        <v>150</v>
      </c>
      <c r="E7" s="33">
        <f>IF($C$3="Adversarial",D7,C7)</f>
        <v/>
      </c>
      <c r="F7" t="inlineStr">
        <is>
          <t>new-money common issuance</t>
        </is>
      </c>
    </row>
    <row r="8">
      <c r="B8" t="inlineStr">
        <is>
          <t>Rights shares issued</t>
        </is>
      </c>
      <c r="C8" s="47" t="n">
        <v>0</v>
      </c>
      <c r="D8" s="32" t="n">
        <v>100</v>
      </c>
      <c r="E8" s="33">
        <f>IF($C$3="Adversarial",D8,C8)</f>
        <v/>
      </c>
      <c r="F8" t="inlineStr">
        <is>
          <t>shares issued under rights offering</t>
        </is>
      </c>
    </row>
    <row r="9">
      <c r="B9" t="inlineStr">
        <is>
          <t>Convertible principal</t>
        </is>
      </c>
      <c r="C9" s="12" t="n">
        <v>100</v>
      </c>
      <c r="D9" s="12" t="n">
        <v>500</v>
      </c>
      <c r="E9" s="17">
        <f>IF($C$3="Adversarial",D9,C9)</f>
        <v/>
      </c>
      <c r="F9" t="inlineStr">
        <is>
          <t>principal subject to conversion</t>
        </is>
      </c>
    </row>
    <row r="10">
      <c r="B10" t="inlineStr">
        <is>
          <t>Conversion price</t>
        </is>
      </c>
      <c r="C10" s="34" t="n">
        <v>10</v>
      </c>
      <c r="D10" s="34" t="n">
        <v>5</v>
      </c>
      <c r="E10" s="35">
        <f>IF($C$3="Adversarial",D10,C10)</f>
        <v/>
      </c>
      <c r="F10" t="inlineStr">
        <is>
          <t>contractual or adjusted conversion price</t>
        </is>
      </c>
    </row>
    <row r="11">
      <c r="B11" t="inlineStr">
        <is>
          <t>Primary issue price</t>
        </is>
      </c>
      <c r="C11" s="48" t="n">
        <v>767</v>
      </c>
      <c r="D11" s="34" t="n">
        <v>4</v>
      </c>
      <c r="E11" s="35">
        <f>IF($C$3="Adversarial",D11,C11)</f>
        <v/>
      </c>
      <c r="F11" t="inlineStr">
        <is>
          <t>gross primary price per share</t>
        </is>
      </c>
    </row>
    <row r="12">
      <c r="B12" t="inlineStr">
        <is>
          <t>Transaction fees</t>
        </is>
      </c>
      <c r="C12" s="49" t="n">
        <v>40.6</v>
      </c>
      <c r="D12" s="12" t="n">
        <v>20</v>
      </c>
      <c r="E12" s="17">
        <f>IF($C$3="Adversarial",D12,C12)</f>
        <v/>
      </c>
      <c r="F12" t="inlineStr">
        <is>
          <t>underwriting, legal, exchange, and other costs</t>
        </is>
      </c>
    </row>
    <row r="13">
      <c r="B13" t="inlineStr">
        <is>
          <t>Maximum existing-holder dilution</t>
        </is>
      </c>
      <c r="C13" s="8" t="n">
        <v>0.35</v>
      </c>
      <c r="D13" s="8" t="n">
        <v>0.35</v>
      </c>
      <c r="E13" s="36">
        <f>IF($C$3="Adversarial",D13,C13)</f>
        <v/>
      </c>
      <c r="F13" t="inlineStr">
        <is>
          <t>approved decision threshold</t>
        </is>
      </c>
    </row>
    <row r="14">
      <c r="B14" t="inlineStr">
        <is>
          <t>Maximum option / RSU overhang</t>
        </is>
      </c>
      <c r="C14" s="8" t="n">
        <v>0.1</v>
      </c>
      <c r="D14" s="8" t="n">
        <v>0.1</v>
      </c>
      <c r="E14" s="36">
        <f>IF($C$3="Adversarial",D14,C14)</f>
        <v/>
      </c>
      <c r="F14" t="inlineStr">
        <is>
          <t>options and RSUs / fully diluted shares</t>
        </is>
      </c>
    </row>
    <row r="17">
      <c r="B17" s="27" t="inlineStr">
        <is>
          <t>Derived outputs</t>
        </is>
      </c>
    </row>
    <row r="18">
      <c r="B18" t="inlineStr">
        <is>
          <t>Converted shares</t>
        </is>
      </c>
      <c r="C18" s="33">
        <f>IFERROR(C9/C10,0)</f>
        <v/>
      </c>
      <c r="D18" s="33">
        <f>IFERROR(D9/D10,0)</f>
        <v/>
      </c>
      <c r="E18" s="33">
        <f>IFERROR(E9/E10,0)</f>
        <v/>
      </c>
    </row>
    <row r="19">
      <c r="B19" t="inlineStr">
        <is>
          <t>Fully diluted post-money shares</t>
        </is>
      </c>
      <c r="C19" s="33">
        <f>SUM(C5:C8)+C18</f>
        <v/>
      </c>
      <c r="D19" s="33">
        <f>SUM(D5:D8)+D18</f>
        <v/>
      </c>
      <c r="E19" s="33">
        <f>SUM(E5:E8)+E18</f>
        <v/>
      </c>
    </row>
    <row r="20">
      <c r="B20" t="inlineStr">
        <is>
          <t>Existing common ownership</t>
        </is>
      </c>
      <c r="C20" s="36">
        <f>IFERROR(C5/C19,0)</f>
        <v/>
      </c>
      <c r="D20" s="36">
        <f>IFERROR(D5/D19,0)</f>
        <v/>
      </c>
      <c r="E20" s="36">
        <f>IFERROR(E5/E19,0)</f>
        <v/>
      </c>
    </row>
    <row r="21">
      <c r="B21" t="inlineStr">
        <is>
          <t>Existing-holder dilution</t>
        </is>
      </c>
      <c r="C21" s="36">
        <f>1-C20</f>
        <v/>
      </c>
      <c r="D21" s="36">
        <f>1-D20</f>
        <v/>
      </c>
      <c r="E21" s="36">
        <f>1-E20</f>
        <v/>
      </c>
    </row>
    <row r="22">
      <c r="B22" t="inlineStr">
        <is>
          <t>Option / RSU overhang</t>
        </is>
      </c>
      <c r="C22" s="36">
        <f>IFERROR(C6/C19,0)</f>
        <v/>
      </c>
      <c r="D22" s="36">
        <f>IFERROR(D6/D19,0)</f>
        <v/>
      </c>
      <c r="E22" s="36">
        <f>IFERROR(E6/E19,0)</f>
        <v/>
      </c>
    </row>
    <row r="23">
      <c r="B23" t="inlineStr">
        <is>
          <t>Gross primary proceeds</t>
        </is>
      </c>
      <c r="C23" s="17">
        <f>C7*C11</f>
        <v/>
      </c>
      <c r="D23" s="17">
        <f>D7*D11</f>
        <v/>
      </c>
      <c r="E23" s="17">
        <f>E7*E11</f>
        <v/>
      </c>
    </row>
    <row r="24">
      <c r="B24" t="inlineStr">
        <is>
          <t>Net primary proceeds</t>
        </is>
      </c>
      <c r="C24" s="17">
        <f>C23-C12</f>
        <v/>
      </c>
      <c r="D24" s="17">
        <f>D23-D12</f>
        <v/>
      </c>
      <c r="E24" s="17">
        <f>E23-E12</f>
        <v/>
      </c>
    </row>
    <row r="25">
      <c r="B25" t="inlineStr">
        <is>
          <t>Share-conservation residual</t>
        </is>
      </c>
      <c r="C25" s="33">
        <f>C19-C5-C6-C7-C8-C18</f>
        <v/>
      </c>
      <c r="D25" s="33">
        <f>D19-D5-D6-D7-D8-D18</f>
        <v/>
      </c>
      <c r="E25" s="33">
        <f>E19-E5-E6-E7-E8-E18</f>
        <v/>
      </c>
    </row>
    <row r="27">
      <c r="B27" s="16" t="inlineStr">
        <is>
          <t>The fully diluted denominator must use the security-specific treasury-stock, if-converted, contingently issuable, and anti-dilution conventions approved for the analysis.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21"/>
  <sheetViews>
    <sheetView showGridLines="0" workbookViewId="0">
      <selection activeCell="A1" sqref="A1"/>
    </sheetView>
  </sheetViews>
  <sheetFormatPr baseColWidth="8" defaultRowHeight="15"/>
  <cols>
    <col width="4" customWidth="1" min="1" max="1"/>
    <col width="42" customWidth="1" min="2" max="2"/>
    <col width="18" customWidth="1" min="3" max="3"/>
    <col width="18" customWidth="1" min="4" max="4"/>
    <col width="46" customWidth="1" min="5" max="5"/>
  </cols>
  <sheetData>
    <row r="2">
      <c r="B2" s="1" t="inlineStr">
        <is>
          <t>Rights Offering Economics and Holder Choices</t>
        </is>
      </c>
    </row>
    <row r="4">
      <c r="B4" s="7" t="inlineStr">
        <is>
          <t>Metric</t>
        </is>
      </c>
      <c r="C4" s="7" t="inlineStr">
        <is>
          <t>Base</t>
        </is>
      </c>
      <c r="D4" s="7" t="inlineStr">
        <is>
          <t>Adversarial</t>
        </is>
      </c>
      <c r="E4" s="7" t="inlineStr">
        <is>
          <t>Interpretation</t>
        </is>
      </c>
    </row>
    <row r="5">
      <c r="B5" t="inlineStr">
        <is>
          <t>Existing shares entitled</t>
        </is>
      </c>
      <c r="C5" s="33">
        <f>'Cap Table &amp; Dilution'!C5</f>
        <v/>
      </c>
      <c r="D5" s="33">
        <f>'Cap Table &amp; Dilution'!D5</f>
        <v/>
      </c>
      <c r="E5" t="inlineStr">
        <is>
          <t>record-date eligible shares</t>
        </is>
      </c>
    </row>
    <row r="6">
      <c r="B6" t="inlineStr">
        <is>
          <t>Rights shares offered</t>
        </is>
      </c>
      <c r="C6" s="33">
        <f>'Cap Table &amp; Dilution'!C8</f>
        <v/>
      </c>
      <c r="D6" s="33">
        <f>'Cap Table &amp; Dilution'!D8</f>
        <v/>
      </c>
      <c r="E6" t="inlineStr">
        <is>
          <t>new shares available through rights</t>
        </is>
      </c>
    </row>
    <row r="7">
      <c r="B7" t="inlineStr">
        <is>
          <t>Cum-rights market price</t>
        </is>
      </c>
      <c r="C7" s="48" t="n">
        <v>767</v>
      </c>
      <c r="D7" s="34" t="n">
        <v>10</v>
      </c>
      <c r="E7" t="inlineStr">
        <is>
          <t>unaffected reference price</t>
        </is>
      </c>
    </row>
    <row r="8">
      <c r="B8" t="inlineStr">
        <is>
          <t>Subscription price</t>
        </is>
      </c>
      <c r="C8" s="48" t="n">
        <v>767</v>
      </c>
      <c r="D8" s="34" t="n">
        <v>3</v>
      </c>
      <c r="E8" t="inlineStr">
        <is>
          <t>cash exercise price</t>
        </is>
      </c>
    </row>
    <row r="9">
      <c r="B9" t="inlineStr">
        <is>
          <t>Expected participation</t>
        </is>
      </c>
      <c r="C9" s="46" t="n">
        <v>1</v>
      </c>
      <c r="D9" s="46" t="n">
        <v>1</v>
      </c>
      <c r="E9" t="inlineStr">
        <is>
          <t>take-up before standby / rump placement</t>
        </is>
      </c>
    </row>
    <row r="10">
      <c r="B10" t="inlineStr">
        <is>
          <t>Standby / backstop fee</t>
        </is>
      </c>
      <c r="C10" s="46" t="n">
        <v>0.01176</v>
      </c>
      <c r="D10" s="8" t="n">
        <v>0.08</v>
      </c>
      <c r="E10" t="inlineStr">
        <is>
          <t>% of underwritten proceeds</t>
        </is>
      </c>
    </row>
    <row r="13">
      <c r="B13" t="inlineStr">
        <is>
          <t>Theoretical ex-rights price</t>
        </is>
      </c>
      <c r="C13" s="17">
        <f>IFERROR((C5*C7+C6*C8)/(C5+C6),0)</f>
        <v/>
      </c>
      <c r="D13" s="17">
        <f>IFERROR((D5*D7+D6*D8)/(D5+D6),0)</f>
        <v/>
      </c>
    </row>
    <row r="14">
      <c r="B14" t="inlineStr">
        <is>
          <t>Theoretical value per right / existing share</t>
        </is>
      </c>
      <c r="C14" s="17">
        <f>C7-C13</f>
        <v/>
      </c>
      <c r="D14" s="17">
        <f>D7-D13</f>
        <v/>
      </c>
    </row>
    <row r="15">
      <c r="B15" t="inlineStr">
        <is>
          <t>Subscription discount</t>
        </is>
      </c>
      <c r="C15" s="36">
        <f>IFERROR(1-C8/C7,0)</f>
        <v/>
      </c>
      <c r="D15" s="36">
        <f>IFERROR(1-D8/D7,0)</f>
        <v/>
      </c>
    </row>
    <row r="16">
      <c r="B16" t="inlineStr">
        <is>
          <t>Expected subscribed shares</t>
        </is>
      </c>
      <c r="C16" s="33">
        <f>C6*C9</f>
        <v/>
      </c>
      <c r="D16" s="33">
        <f>D6*D9</f>
        <v/>
      </c>
    </row>
    <row r="17">
      <c r="B17" t="inlineStr">
        <is>
          <t>Expected gross proceeds</t>
        </is>
      </c>
      <c r="C17" s="17">
        <f>C16*C8</f>
        <v/>
      </c>
      <c r="D17" s="17">
        <f>D16*D8</f>
        <v/>
      </c>
    </row>
    <row r="18">
      <c r="B18" t="inlineStr">
        <is>
          <t>Expected standby fee</t>
        </is>
      </c>
      <c r="C18" s="17">
        <f>(C6-C16)*C8*C10</f>
        <v/>
      </c>
      <c r="D18" s="17">
        <f>(D6-D16)*D8*D10</f>
        <v/>
      </c>
    </row>
    <row r="19">
      <c r="B19" t="inlineStr">
        <is>
          <t>Expected net rights proceeds</t>
        </is>
      </c>
      <c r="C19" s="17">
        <f>C17-C18</f>
        <v/>
      </c>
      <c r="D19" s="17">
        <f>D17-D18</f>
        <v/>
      </c>
    </row>
    <row r="21">
      <c r="B21" s="16" t="inlineStr">
        <is>
          <t>TERP is a frictionless reference. Actual value depends on trading, eligibility, taxes, participation, backstop terms, execution leakage, and the use of proceeds.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E22"/>
  <sheetViews>
    <sheetView showGridLines="0" workbookViewId="0">
      <selection activeCell="A1" sqref="A1"/>
    </sheetView>
  </sheetViews>
  <sheetFormatPr baseColWidth="8" defaultRowHeight="15"/>
  <cols>
    <col width="4" customWidth="1" min="1" max="1"/>
    <col width="42" customWidth="1" min="2" max="2"/>
    <col width="18" customWidth="1" min="3" max="3"/>
    <col width="18" customWidth="1" min="4" max="4"/>
    <col width="46" customWidth="1" min="5" max="5"/>
  </cols>
  <sheetData>
    <row r="2">
      <c r="B2" s="1" t="inlineStr">
        <is>
          <t>Convertible Security Economics and If-Converted Dilution</t>
        </is>
      </c>
    </row>
    <row r="4">
      <c r="B4" s="7" t="inlineStr">
        <is>
          <t>Metric</t>
        </is>
      </c>
      <c r="C4" s="7" t="inlineStr">
        <is>
          <t>Base</t>
        </is>
      </c>
      <c r="D4" s="7" t="inlineStr">
        <is>
          <t>Adversarial</t>
        </is>
      </c>
      <c r="E4" s="7" t="inlineStr">
        <is>
          <t>Interpretation</t>
        </is>
      </c>
    </row>
    <row r="5">
      <c r="B5" t="inlineStr">
        <is>
          <t>Principal</t>
        </is>
      </c>
      <c r="C5" s="17">
        <f>'Cap Table &amp; Dilution'!C9</f>
        <v/>
      </c>
      <c r="D5" s="17">
        <f>'Cap Table &amp; Dilution'!D9</f>
        <v/>
      </c>
      <c r="E5" t="inlineStr">
        <is>
          <t>outstanding principal</t>
        </is>
      </c>
    </row>
    <row r="6">
      <c r="B6" t="inlineStr">
        <is>
          <t>Conversion price</t>
        </is>
      </c>
      <c r="C6" s="35">
        <f>'Cap Table &amp; Dilution'!C10</f>
        <v/>
      </c>
      <c r="D6" s="35">
        <f>'Cap Table &amp; Dilution'!D10</f>
        <v/>
      </c>
      <c r="E6" t="inlineStr">
        <is>
          <t>post-adjustment conversion price</t>
        </is>
      </c>
    </row>
    <row r="7">
      <c r="B7" t="inlineStr">
        <is>
          <t>Current share price</t>
        </is>
      </c>
      <c r="C7" s="34" t="n">
        <v>12</v>
      </c>
      <c r="D7" s="34" t="n">
        <v>4</v>
      </c>
      <c r="E7" t="inlineStr">
        <is>
          <t>market reference</t>
        </is>
      </c>
    </row>
    <row r="8">
      <c r="B8" t="inlineStr">
        <is>
          <t>Cash coupon</t>
        </is>
      </c>
      <c r="C8" s="8" t="n">
        <v>0.04</v>
      </c>
      <c r="D8" s="8" t="n">
        <v>0.08</v>
      </c>
      <c r="E8" t="inlineStr">
        <is>
          <t>annual cash interest</t>
        </is>
      </c>
    </row>
    <row r="9">
      <c r="B9" t="inlineStr">
        <is>
          <t>Remaining tenor</t>
        </is>
      </c>
      <c r="C9" s="37" t="n">
        <v>3</v>
      </c>
      <c r="D9" s="37" t="n">
        <v>1</v>
      </c>
      <c r="E9" t="inlineStr">
        <is>
          <t>years</t>
        </is>
      </c>
    </row>
    <row r="10">
      <c r="B10" t="inlineStr">
        <is>
          <t>Redemption premium</t>
        </is>
      </c>
      <c r="C10" s="8" t="n">
        <v>0.05</v>
      </c>
      <c r="D10" s="8" t="n">
        <v>0.15</v>
      </c>
      <c r="E10" t="inlineStr">
        <is>
          <t>premium to principal at maturity / redemption</t>
        </is>
      </c>
    </row>
    <row r="11">
      <c r="B11" t="inlineStr">
        <is>
          <t>Anti-dilution adjusted price</t>
        </is>
      </c>
      <c r="C11" s="34" t="n">
        <v>9.5</v>
      </c>
      <c r="D11" s="34" t="n">
        <v>3.5</v>
      </c>
      <c r="E11" t="inlineStr">
        <is>
          <t>approved modeled adjustment</t>
        </is>
      </c>
    </row>
    <row r="14">
      <c r="B14" t="inlineStr">
        <is>
          <t>Contractual converted shares</t>
        </is>
      </c>
      <c r="C14" s="33">
        <f>IFERROR(C5/C6,0)</f>
        <v/>
      </c>
      <c r="D14" s="33">
        <f>IFERROR(D5/D6,0)</f>
        <v/>
      </c>
    </row>
    <row r="15">
      <c r="B15" t="inlineStr">
        <is>
          <t>Anti-dilution adjusted shares</t>
        </is>
      </c>
      <c r="C15" s="33">
        <f>IFERROR(C5/C11,0)</f>
        <v/>
      </c>
      <c r="D15" s="33">
        <f>IFERROR(D5/D11,0)</f>
        <v/>
      </c>
    </row>
    <row r="16">
      <c r="B16" t="inlineStr">
        <is>
          <t>Conversion value</t>
        </is>
      </c>
      <c r="C16" s="17">
        <f>C14*C7</f>
        <v/>
      </c>
      <c r="D16" s="17">
        <f>D14*D7</f>
        <v/>
      </c>
    </row>
    <row r="17">
      <c r="B17" t="inlineStr">
        <is>
          <t>Redemption value</t>
        </is>
      </c>
      <c r="C17" s="17">
        <f>C5*(1+C10)</f>
        <v/>
      </c>
      <c r="D17" s="17">
        <f>D5*(1+D10)</f>
        <v/>
      </c>
    </row>
    <row r="18">
      <c r="B18" t="inlineStr">
        <is>
          <t>Conversion parity</t>
        </is>
      </c>
      <c r="C18" s="38">
        <f>IFERROR(C16/C5,0)</f>
        <v/>
      </c>
      <c r="D18" s="38">
        <f>IFERROR(D16/D5,0)</f>
        <v/>
      </c>
    </row>
    <row r="19">
      <c r="B19" t="inlineStr">
        <is>
          <t>Incremental anti-dilution shares</t>
        </is>
      </c>
      <c r="C19" s="33">
        <f>C15-C14</f>
        <v/>
      </c>
      <c r="D19" s="33">
        <f>D15-D14</f>
        <v/>
      </c>
    </row>
    <row r="20">
      <c r="B20" t="inlineStr">
        <is>
          <t>Annual cash coupon</t>
        </is>
      </c>
      <c r="C20" s="17">
        <f>C5*C8</f>
        <v/>
      </c>
      <c r="D20" s="17">
        <f>D5*D8</f>
        <v/>
      </c>
    </row>
    <row r="22">
      <c r="B22" s="16" t="inlineStr">
        <is>
          <t>This sheet models if-converted economics, not the full value of optionality. Call features, soft calls, resets, make-wholes, caps, floors, and settlement elections require explicit terms.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26"/>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4" customWidth="1" min="2" max="2"/>
    <col width="18" customWidth="1" min="3" max="3"/>
    <col width="18" customWidth="1" min="4" max="4"/>
    <col width="52" customWidth="1" min="5" max="5"/>
  </cols>
  <sheetData>
    <row r="2">
      <c r="B2" s="1" t="inlineStr">
        <is>
          <t>Equity Finance Decision Dashboard and Independent Checks</t>
        </is>
      </c>
    </row>
    <row r="4">
      <c r="B4" s="7" t="inlineStr">
        <is>
          <t>Check / decision</t>
        </is>
      </c>
      <c r="C4" s="7" t="inlineStr">
        <is>
          <t>Metric</t>
        </is>
      </c>
      <c r="D4" s="7" t="inlineStr">
        <is>
          <t>Status</t>
        </is>
      </c>
      <c r="E4" s="7" t="inlineStr">
        <is>
          <t>Interpretation / action</t>
        </is>
      </c>
    </row>
    <row r="5">
      <c r="B5" t="inlineStr">
        <is>
          <t>Share-conservation residual</t>
        </is>
      </c>
      <c r="C5" s="29">
        <f>'Cap Table &amp; Dilution'!E25</f>
        <v/>
      </c>
      <c r="D5" s="29">
        <f>IF(ABS(C5)&lt;0.000001,"PASS","FAIL")</f>
        <v/>
      </c>
      <c r="E5" t="inlineStr">
        <is>
          <t>Fully diluted shares must reconcile to every issued and contingently issuable security.</t>
        </is>
      </c>
    </row>
    <row r="6">
      <c r="B6" t="inlineStr">
        <is>
          <t>Ownership / dilution identity</t>
        </is>
      </c>
      <c r="C6" s="29">
        <f>'Cap Table &amp; Dilution'!E20+'Cap Table &amp; Dilution'!E21-1</f>
        <v/>
      </c>
      <c r="D6" s="29">
        <f>IF(ABS(C6)&lt;0.000001,"PASS","FAIL")</f>
        <v/>
      </c>
      <c r="E6" t="inlineStr">
        <is>
          <t>Existing ownership plus dilution must equal one.</t>
        </is>
      </c>
    </row>
    <row r="7">
      <c r="B7" t="inlineStr">
        <is>
          <t>Existing-holder dilution</t>
        </is>
      </c>
      <c r="C7" s="29">
        <f>'Cap Table &amp; Dilution'!E21</f>
        <v/>
      </c>
      <c r="D7" s="29">
        <f>IF(C7&lt;='Cap Table &amp; Dilution'!E13,"PASS","BREACH")</f>
        <v/>
      </c>
      <c r="E7" t="inlineStr">
        <is>
          <t>A financing that exceeds approved dilution requires explicit board and shareholder analysis.</t>
        </is>
      </c>
    </row>
    <row r="8">
      <c r="B8" t="inlineStr">
        <is>
          <t>Option / RSU overhang</t>
        </is>
      </c>
      <c r="C8" s="29">
        <f>'Cap Table &amp; Dilution'!E22</f>
        <v/>
      </c>
      <c r="D8" s="29">
        <f>IF(C8&lt;='Cap Table &amp; Dilution'!E14,"PASS","REVIEW")</f>
        <v/>
      </c>
      <c r="E8" t="inlineStr">
        <is>
          <t>Track employee, acquisition, and contingent-equity dilution separately.</t>
        </is>
      </c>
    </row>
    <row r="9">
      <c r="B9" t="inlineStr">
        <is>
          <t>Net primary proceeds</t>
        </is>
      </c>
      <c r="C9" s="29">
        <f>'Cap Table &amp; Dilution'!E24</f>
        <v/>
      </c>
      <c r="D9" s="29">
        <f>IF(C9&gt;=0,"PASS","BREACH")</f>
        <v/>
      </c>
      <c r="E9" t="inlineStr">
        <is>
          <t>Fees and discounts may not exceed gross proceeds.</t>
        </is>
      </c>
    </row>
    <row r="10">
      <c r="B10" t="inlineStr">
        <is>
          <t>Rights TERP residual</t>
        </is>
      </c>
      <c r="C10" s="29">
        <f>'Rights Offering'!C13-(('Rights Offering'!C5*'Rights Offering'!C7+'Rights Offering'!C6*'Rights Offering'!C8)/('Rights Offering'!C5+'Rights Offering'!C6))</f>
        <v/>
      </c>
      <c r="D10" s="29">
        <f>IF(ABS(C10)&lt;0.000001,"PASS","FAIL")</f>
        <v/>
      </c>
      <c r="E10" t="inlineStr">
        <is>
          <t>TERP must reconcile from old and new shares and their respective prices.</t>
        </is>
      </c>
    </row>
    <row r="11">
      <c r="B11" t="inlineStr">
        <is>
          <t>Rights value</t>
        </is>
      </c>
      <c r="C11" s="29">
        <f>'Rights Offering'!C14</f>
        <v/>
      </c>
      <c r="D11" s="29">
        <f>IF(C11&gt;=0,"PASS","REVIEW")</f>
        <v/>
      </c>
      <c r="E11" t="inlineStr">
        <is>
          <t>Negative theoretical right value indicates inconsistent market or subscription inputs.</t>
        </is>
      </c>
    </row>
    <row r="12">
      <c r="B12" t="inlineStr">
        <is>
          <t>Adversarial rights participation</t>
        </is>
      </c>
      <c r="C12" s="29">
        <f>'Rights Offering'!D9</f>
        <v/>
      </c>
      <c r="D12" s="29">
        <f>IF(C12&gt;=0.75,"PASS",IF(C12&gt;=0.50,"REVIEW","BREACH"))</f>
        <v/>
      </c>
      <c r="E12" t="inlineStr">
        <is>
          <t>Low participation creates rump-placement, backstop, execution, and control risk.</t>
        </is>
      </c>
    </row>
    <row r="13">
      <c r="B13" t="inlineStr">
        <is>
          <t>Converted-share reconciliation</t>
        </is>
      </c>
      <c r="C13" s="29">
        <f>'Convertible Securities'!C14-'Cap Table &amp; Dilution'!C18</f>
        <v/>
      </c>
      <c r="D13" s="29">
        <f>IF(ABS(C13)&lt;0.000001,"PASS","FAIL")</f>
        <v/>
      </c>
      <c r="E13" t="inlineStr">
        <is>
          <t>Cap table and convertible schedule must use the same principal and conversion price.</t>
        </is>
      </c>
    </row>
    <row r="14">
      <c r="B14" t="inlineStr">
        <is>
          <t>Incremental anti-dilution shares</t>
        </is>
      </c>
      <c r="C14" s="29">
        <f>'Convertible Securities'!D19</f>
        <v/>
      </c>
      <c r="D14" s="29">
        <f>IF(C14&lt;=0,"PASS","REVIEW")</f>
        <v/>
      </c>
      <c r="E14" t="inlineStr">
        <is>
          <t>Reset and anti-dilution provisions can materially expand fully diluted shares in downside cases.</t>
        </is>
      </c>
    </row>
    <row r="16">
      <c r="B16" s="2" t="inlineStr">
        <is>
          <t>Overall model status</t>
        </is>
      </c>
      <c r="C16" s="39">
        <f>IF(COUNTIF(D5:D14,"FAIL")+COUNTIF(D5:D14,"BREACH")&gt;0,"BREACH",IF(COUNTIF(D5:D14,"REVIEW")&gt;0,"REVIEW","PASS"))</f>
        <v/>
      </c>
    </row>
    <row r="18">
      <c r="B18" s="27" t="inlineStr">
        <is>
          <t>Primary decision outputs</t>
        </is>
      </c>
    </row>
    <row r="19">
      <c r="B19" t="inlineStr">
        <is>
          <t>Fully diluted shares</t>
        </is>
      </c>
      <c r="C19" s="33">
        <f>'Cap Table &amp; Dilution'!E19</f>
        <v/>
      </c>
    </row>
    <row r="20">
      <c r="B20" t="inlineStr">
        <is>
          <t>Existing-holder dilution</t>
        </is>
      </c>
      <c r="C20" s="36">
        <f>'Cap Table &amp; Dilution'!E21</f>
        <v/>
      </c>
    </row>
    <row r="21">
      <c r="B21" t="inlineStr">
        <is>
          <t>Net primary proceeds</t>
        </is>
      </c>
      <c r="C21" s="17">
        <f>'Cap Table &amp; Dilution'!E24</f>
        <v/>
      </c>
    </row>
    <row r="22">
      <c r="B22" t="inlineStr">
        <is>
          <t>Base TERP</t>
        </is>
      </c>
      <c r="C22" s="35">
        <f>'Rights Offering'!C13</f>
        <v/>
      </c>
    </row>
    <row r="23">
      <c r="B23" t="inlineStr">
        <is>
          <t>Expected net rights proceeds</t>
        </is>
      </c>
      <c r="C23" s="17">
        <f>'Rights Offering'!C19</f>
        <v/>
      </c>
    </row>
    <row r="24">
      <c r="B24" t="inlineStr">
        <is>
          <t>Contractual converted shares</t>
        </is>
      </c>
      <c r="C24" s="33">
        <f>'Convertible Securities'!C14</f>
        <v/>
      </c>
    </row>
    <row r="25">
      <c r="B25" t="inlineStr">
        <is>
          <t>Adversarial anti-dilution shares</t>
        </is>
      </c>
      <c r="C25" s="33">
        <f>'Convertible Securities'!D15</f>
        <v/>
      </c>
    </row>
    <row r="26">
      <c r="B26" t="inlineStr">
        <is>
          <t>Adversarial redemption value</t>
        </is>
      </c>
      <c r="C26" s="17">
        <f>'Convertible Securities'!D17</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I2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2">
      <c r="B2" s="1" t="inlineStr">
        <is>
          <t>Income Statement ($mm)</t>
        </is>
      </c>
    </row>
    <row r="4">
      <c r="A4" s="7" t="inlineStr"/>
      <c r="B4" s="7" t="inlineStr">
        <is>
          <t>Line item</t>
        </is>
      </c>
      <c r="C4" s="7" t="inlineStr">
        <is>
          <t>FY-2A</t>
        </is>
      </c>
      <c r="D4" s="7" t="inlineStr">
        <is>
          <t>FY-1A</t>
        </is>
      </c>
      <c r="E4" s="7" t="inlineStr">
        <is>
          <t>FY0A</t>
        </is>
      </c>
      <c r="F4" s="7" t="inlineStr">
        <is>
          <t>FY1E</t>
        </is>
      </c>
      <c r="G4" s="7" t="inlineStr">
        <is>
          <t>FY2E</t>
        </is>
      </c>
      <c r="H4" s="7" t="inlineStr">
        <is>
          <t>FY3E</t>
        </is>
      </c>
      <c r="I4" s="7" t="inlineStr">
        <is>
          <t>FY4E</t>
        </is>
      </c>
    </row>
    <row r="5">
      <c r="B5" s="2" t="inlineStr">
        <is>
          <t>Revenue</t>
        </is>
      </c>
      <c r="C5" s="49" t="n">
        <v>11759</v>
      </c>
      <c r="D5" s="49" t="n">
        <v>21461</v>
      </c>
      <c r="E5" s="49" t="n">
        <v>24578</v>
      </c>
      <c r="F5" s="13">
        <f>E5*(1+Assumptions!C5)</f>
        <v/>
      </c>
      <c r="G5" s="13">
        <f>F5*(1+Assumptions!D5)</f>
        <v/>
      </c>
      <c r="H5" s="13">
        <f>G5*(1+Assumptions!E5)</f>
        <v/>
      </c>
      <c r="I5" s="13">
        <f>H5*(1+Assumptions!F5)</f>
        <v/>
      </c>
    </row>
    <row r="6">
      <c r="B6" s="4" t="inlineStr">
        <is>
          <t>Revenue growth %</t>
        </is>
      </c>
      <c r="C6" s="14" t="n"/>
      <c r="D6" s="14">
        <f>IFERROR(D5/C5-1,"-")</f>
        <v/>
      </c>
      <c r="E6" s="14">
        <f>IFERROR(E5/D5-1,"-")</f>
        <v/>
      </c>
      <c r="F6" s="14">
        <f>IFERROR(F5/E5-1,"-")</f>
        <v/>
      </c>
      <c r="G6" s="14">
        <f>IFERROR(G5/F5-1,"-")</f>
        <v/>
      </c>
      <c r="H6" s="14">
        <f>IFERROR(H5/G5-1,"-")</f>
        <v/>
      </c>
      <c r="I6" s="14">
        <f>IFERROR(I5/H5-1,"-")</f>
        <v/>
      </c>
    </row>
    <row r="7">
      <c r="B7" s="4" t="inlineStr">
        <is>
          <t>COGS</t>
        </is>
      </c>
      <c r="C7" s="49" t="n">
        <v>9536</v>
      </c>
      <c r="D7" s="49" t="n">
        <v>17419</v>
      </c>
      <c r="E7" s="49" t="n">
        <v>20509</v>
      </c>
      <c r="F7" s="13">
        <f>F5*(1-Assumptions!C6)</f>
        <v/>
      </c>
      <c r="G7" s="13">
        <f>G5*(1-Assumptions!D6)</f>
        <v/>
      </c>
      <c r="H7" s="13">
        <f>H5*(1-Assumptions!E6)</f>
        <v/>
      </c>
      <c r="I7" s="13">
        <f>I5*(1-Assumptions!F6)</f>
        <v/>
      </c>
    </row>
    <row r="8">
      <c r="B8" s="2" t="inlineStr">
        <is>
          <t>Gross profit</t>
        </is>
      </c>
      <c r="C8" s="13">
        <f>C5-C7</f>
        <v/>
      </c>
      <c r="D8" s="13">
        <f>D5-D7</f>
        <v/>
      </c>
      <c r="E8" s="13">
        <f>E5-E7</f>
        <v/>
      </c>
      <c r="F8" s="13">
        <f>F5-F7</f>
        <v/>
      </c>
      <c r="G8" s="13">
        <f>G5-G7</f>
        <v/>
      </c>
      <c r="H8" s="13">
        <f>H5-H7</f>
        <v/>
      </c>
      <c r="I8" s="13">
        <f>I5-I7</f>
        <v/>
      </c>
    </row>
    <row r="9">
      <c r="B9" s="4" t="inlineStr">
        <is>
          <t>Gross margin %</t>
        </is>
      </c>
      <c r="C9" s="14">
        <f>IFERROR(C8/C5,"-")</f>
        <v/>
      </c>
      <c r="D9" s="14">
        <f>IFERROR(D8/D5,"-")</f>
        <v/>
      </c>
      <c r="E9" s="14">
        <f>IFERROR(E8/E5,"-")</f>
        <v/>
      </c>
      <c r="F9" s="14">
        <f>IFERROR(F8/F5,"-")</f>
        <v/>
      </c>
      <c r="G9" s="14">
        <f>IFERROR(G8/G5,"-")</f>
        <v/>
      </c>
      <c r="H9" s="14">
        <f>IFERROR(H8/H5,"-")</f>
        <v/>
      </c>
      <c r="I9" s="14">
        <f>IFERROR(I8/I5,"-")</f>
        <v/>
      </c>
    </row>
    <row r="10">
      <c r="B10" s="4" t="inlineStr">
        <is>
          <t>Opex</t>
        </is>
      </c>
      <c r="C10" s="49" t="n">
        <v>2219</v>
      </c>
      <c r="D10" s="49" t="n">
        <v>2529</v>
      </c>
      <c r="E10" s="49" t="n">
        <v>1984</v>
      </c>
      <c r="F10" s="13">
        <f>F5*Assumptions!C7</f>
        <v/>
      </c>
      <c r="G10" s="13">
        <f>G5*Assumptions!D7</f>
        <v/>
      </c>
      <c r="H10" s="13">
        <f>H5*Assumptions!E7</f>
        <v/>
      </c>
      <c r="I10" s="13">
        <f>I5*Assumptions!F7</f>
        <v/>
      </c>
    </row>
    <row r="11">
      <c r="B11" s="2" t="inlineStr">
        <is>
          <t>EBITDA</t>
        </is>
      </c>
      <c r="C11" s="13">
        <f>C8-C10</f>
        <v/>
      </c>
      <c r="D11" s="13">
        <f>D8-D10</f>
        <v/>
      </c>
      <c r="E11" s="13">
        <f>E8-E10</f>
        <v/>
      </c>
      <c r="F11" s="13">
        <f>F8-F10</f>
        <v/>
      </c>
      <c r="G11" s="13">
        <f>G8-G10</f>
        <v/>
      </c>
      <c r="H11" s="13">
        <f>H8-H10</f>
        <v/>
      </c>
      <c r="I11" s="13">
        <f>I8-I10</f>
        <v/>
      </c>
    </row>
    <row r="12">
      <c r="B12" s="4" t="inlineStr">
        <is>
          <t>EBITDA margin %</t>
        </is>
      </c>
      <c r="C12" s="14">
        <f>IFERROR(C11/C5,"-")</f>
        <v/>
      </c>
      <c r="D12" s="14">
        <f>IFERROR(D11/D5,"-")</f>
        <v/>
      </c>
      <c r="E12" s="14">
        <f>IFERROR(E11/E5,"-")</f>
        <v/>
      </c>
      <c r="F12" s="14">
        <f>IFERROR(F11/F5,"-")</f>
        <v/>
      </c>
      <c r="G12" s="14">
        <f>IFERROR(G11/G5,"-")</f>
        <v/>
      </c>
      <c r="H12" s="14">
        <f>IFERROR(H11/H5,"-")</f>
        <v/>
      </c>
      <c r="I12" s="14">
        <f>IFERROR(I11/I5,"-")</f>
        <v/>
      </c>
    </row>
    <row r="13">
      <c r="B13" s="4" t="inlineStr">
        <is>
          <t>D&amp;A</t>
        </is>
      </c>
      <c r="C13" s="49" t="n">
        <v>1636</v>
      </c>
      <c r="D13" s="49" t="n">
        <v>1901</v>
      </c>
      <c r="E13" s="49" t="n">
        <v>2154</v>
      </c>
      <c r="F13" s="13">
        <f>F5*Assumptions!C10*Assumptions!C9</f>
        <v/>
      </c>
      <c r="G13" s="13">
        <f>G5*Assumptions!D10*Assumptions!D9</f>
        <v/>
      </c>
      <c r="H13" s="13">
        <f>H5*Assumptions!E10*Assumptions!E9</f>
        <v/>
      </c>
      <c r="I13" s="13">
        <f>I5*Assumptions!F10*Assumptions!F9</f>
        <v/>
      </c>
    </row>
    <row r="14">
      <c r="B14" s="2" t="inlineStr">
        <is>
          <t>EBIT</t>
        </is>
      </c>
      <c r="C14" s="13">
        <f>C11-C13</f>
        <v/>
      </c>
      <c r="D14" s="13">
        <f>D11-D13</f>
        <v/>
      </c>
      <c r="E14" s="13">
        <f>E11-E13</f>
        <v/>
      </c>
      <c r="F14" s="13">
        <f>F11-F13</f>
        <v/>
      </c>
      <c r="G14" s="13">
        <f>G11-G13</f>
        <v/>
      </c>
      <c r="H14" s="13">
        <f>H11-H13</f>
        <v/>
      </c>
      <c r="I14" s="13">
        <f>I11-I13</f>
        <v/>
      </c>
    </row>
    <row r="15">
      <c r="B15" s="4" t="inlineStr">
        <is>
          <t>Interest expense</t>
        </is>
      </c>
      <c r="C15" s="49" t="n">
        <v>471</v>
      </c>
      <c r="D15" s="49" t="n">
        <v>663</v>
      </c>
      <c r="E15" s="49" t="n">
        <v>685</v>
      </c>
      <c r="F15" s="13">
        <f>$E$15</f>
        <v/>
      </c>
      <c r="G15" s="13">
        <f>$E$15</f>
        <v/>
      </c>
      <c r="H15" s="13">
        <f>$E$15</f>
        <v/>
      </c>
      <c r="I15" s="13">
        <f>$E$15</f>
        <v/>
      </c>
    </row>
    <row r="16">
      <c r="B16" s="4" t="inlineStr">
        <is>
          <t>Pre-tax income</t>
        </is>
      </c>
      <c r="C16" s="13">
        <f>C14-C15</f>
        <v/>
      </c>
      <c r="D16" s="13">
        <f>D14-D15</f>
        <v/>
      </c>
      <c r="E16" s="13">
        <f>E14-E15</f>
        <v/>
      </c>
      <c r="F16" s="13">
        <f>F14-F15</f>
        <v/>
      </c>
      <c r="G16" s="13">
        <f>G14-G15</f>
        <v/>
      </c>
      <c r="H16" s="13">
        <f>H14-H15</f>
        <v/>
      </c>
      <c r="I16" s="13">
        <f>I14-I15</f>
        <v/>
      </c>
    </row>
    <row r="17">
      <c r="B17" s="4" t="inlineStr">
        <is>
          <t>Tax</t>
        </is>
      </c>
      <c r="C17" s="49" t="n">
        <v>32</v>
      </c>
      <c r="D17" s="49" t="n">
        <v>58</v>
      </c>
      <c r="E17" s="49" t="n">
        <v>110</v>
      </c>
      <c r="F17" s="13">
        <f>F16*Assumptions!C8</f>
        <v/>
      </c>
      <c r="G17" s="13">
        <f>G16*Assumptions!D8</f>
        <v/>
      </c>
      <c r="H17" s="13">
        <f>H16*Assumptions!E8</f>
        <v/>
      </c>
      <c r="I17" s="13">
        <f>I16*Assumptions!F8</f>
        <v/>
      </c>
    </row>
    <row r="18">
      <c r="B18" s="2" t="inlineStr">
        <is>
          <t>Net income</t>
        </is>
      </c>
      <c r="C18" s="13">
        <f>C16-C17</f>
        <v/>
      </c>
      <c r="D18" s="13">
        <f>D16-D17</f>
        <v/>
      </c>
      <c r="E18" s="13">
        <f>E16-E17</f>
        <v/>
      </c>
      <c r="F18" s="13">
        <f>F16-F17</f>
        <v/>
      </c>
      <c r="G18" s="13">
        <f>G16-G17</f>
        <v/>
      </c>
      <c r="H18" s="13">
        <f>H16-H17</f>
        <v/>
      </c>
      <c r="I18" s="13">
        <f>I16-I17</f>
        <v/>
      </c>
    </row>
    <row r="19">
      <c r="B19" s="4" t="inlineStr">
        <is>
          <t>Diluted shares</t>
        </is>
      </c>
      <c r="C19" s="50" t="n">
        <v>168.8</v>
      </c>
      <c r="D19" s="50" t="n">
        <v>173</v>
      </c>
      <c r="E19" s="50" t="n">
        <v>179.7</v>
      </c>
      <c r="F19" s="13">
        <f>Assumptions!C12</f>
        <v/>
      </c>
      <c r="G19" s="13">
        <f>Assumptions!D12</f>
        <v/>
      </c>
      <c r="H19" s="13">
        <f>Assumptions!E12</f>
        <v/>
      </c>
      <c r="I19" s="13">
        <f>Assumptions!F12</f>
        <v/>
      </c>
    </row>
    <row r="20">
      <c r="B20" s="4" t="inlineStr">
        <is>
          <t>Diluted EPS</t>
        </is>
      </c>
      <c r="C20" s="13">
        <f>IFERROR(C18/C19,"-")</f>
        <v/>
      </c>
      <c r="D20" s="13">
        <f>IFERROR(D18/D19,"-")</f>
        <v/>
      </c>
      <c r="E20" s="13">
        <f>IFERROR(E18/E19,"-")</f>
        <v/>
      </c>
      <c r="F20" s="13">
        <f>IFERROR(F18/F19,"-")</f>
        <v/>
      </c>
      <c r="G20" s="13">
        <f>IFERROR(G18/G19,"-")</f>
        <v/>
      </c>
      <c r="H20" s="13">
        <f>IFERROR(H18/H19,"-")</f>
        <v/>
      </c>
      <c r="I20" s="13">
        <f>IFERROR(I18/I19,"-")</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G19"/>
  <sheetViews>
    <sheetView showGridLines="0" workbookViewId="0">
      <selection activeCell="A1" sqref="A1"/>
    </sheetView>
  </sheetViews>
  <sheetFormatPr baseColWidth="8" defaultRowHeight="15"/>
  <cols>
    <col width="4" customWidth="1" min="1" max="1"/>
    <col width="26" customWidth="1" min="2" max="2"/>
    <col width="13" customWidth="1" min="3" max="3"/>
    <col width="13" customWidth="1" min="4" max="4"/>
    <col width="13" customWidth="1" min="5" max="5"/>
    <col width="13" customWidth="1" min="6" max="6"/>
    <col width="13" customWidth="1" min="7" max="7"/>
  </cols>
  <sheetData>
    <row r="2">
      <c r="B2" s="1" t="inlineStr">
        <is>
          <t>Balance Sheet ($mm)</t>
        </is>
      </c>
    </row>
    <row r="4">
      <c r="A4" s="7" t="inlineStr"/>
      <c r="B4" s="7" t="inlineStr">
        <is>
          <t>Line item</t>
        </is>
      </c>
      <c r="C4" s="7" t="inlineStr">
        <is>
          <t>FY-1A</t>
        </is>
      </c>
      <c r="D4" s="7" t="inlineStr">
        <is>
          <t>FY0A</t>
        </is>
      </c>
      <c r="E4" s="7" t="inlineStr">
        <is>
          <t>FY1E</t>
        </is>
      </c>
      <c r="F4" s="7" t="inlineStr">
        <is>
          <t>FY2E</t>
        </is>
      </c>
      <c r="G4" t="inlineStr">
        <is>
          <t>FY3E</t>
        </is>
      </c>
    </row>
    <row r="5">
      <c r="B5" s="4" t="inlineStr">
        <is>
          <t>Cash &amp; equivalents</t>
        </is>
      </c>
      <c r="C5" s="13" t="n"/>
      <c r="D5" s="13" t="n"/>
      <c r="E5" s="13" t="n"/>
      <c r="F5" s="13" t="n"/>
      <c r="G5" s="13" t="n"/>
    </row>
    <row r="6">
      <c r="B6" s="4" t="inlineStr">
        <is>
          <t>Accounts receivable</t>
        </is>
      </c>
      <c r="C6" s="13" t="n"/>
      <c r="D6" s="13" t="n"/>
      <c r="E6" s="13" t="n"/>
      <c r="F6" s="13" t="n"/>
      <c r="G6" s="13" t="n"/>
    </row>
    <row r="7">
      <c r="B7" s="4" t="inlineStr">
        <is>
          <t>Inventory</t>
        </is>
      </c>
      <c r="C7" s="13" t="n"/>
      <c r="D7" s="13" t="n"/>
      <c r="E7" s="13" t="n"/>
      <c r="F7" s="13" t="n"/>
      <c r="G7" s="13" t="n"/>
    </row>
    <row r="8">
      <c r="B8" s="2" t="inlineStr">
        <is>
          <t>Total current assets</t>
        </is>
      </c>
      <c r="C8" s="13">
        <f>C5+C6+C7</f>
        <v/>
      </c>
      <c r="D8" s="13">
        <f>D5+D6+D7</f>
        <v/>
      </c>
      <c r="E8" s="13">
        <f>E5+E6+E7</f>
        <v/>
      </c>
      <c r="F8" s="13">
        <f>F5+F6+F7</f>
        <v/>
      </c>
      <c r="G8" s="13">
        <f>G5+G6+G7</f>
        <v/>
      </c>
    </row>
    <row r="9">
      <c r="B9" s="4" t="inlineStr">
        <is>
          <t>PP&amp;E net</t>
        </is>
      </c>
      <c r="C9" s="13" t="n"/>
      <c r="D9" s="13" t="n"/>
      <c r="E9" s="13" t="n"/>
      <c r="F9" s="13" t="n"/>
      <c r="G9" s="13" t="n"/>
    </row>
    <row r="10">
      <c r="B10" s="4" t="inlineStr">
        <is>
          <t>Goodwill &amp; intangibles</t>
        </is>
      </c>
      <c r="C10" s="13" t="n"/>
      <c r="D10" s="13" t="n"/>
      <c r="E10" s="13" t="n"/>
      <c r="F10" s="13" t="n"/>
      <c r="G10" s="13" t="n"/>
    </row>
    <row r="11">
      <c r="B11" s="2" t="inlineStr">
        <is>
          <t>Total assets</t>
        </is>
      </c>
      <c r="C11" s="13">
        <f>C8+C9+C10</f>
        <v/>
      </c>
      <c r="D11" s="13">
        <f>D8+D9+D10</f>
        <v/>
      </c>
      <c r="E11" s="13">
        <f>E8+E9+E10</f>
        <v/>
      </c>
      <c r="F11" s="13">
        <f>F8+F9+F10</f>
        <v/>
      </c>
      <c r="G11" s="13">
        <f>G8+G9+G10</f>
        <v/>
      </c>
    </row>
    <row r="12">
      <c r="B12" s="4" t="inlineStr">
        <is>
          <t>Accounts payable</t>
        </is>
      </c>
      <c r="C12" s="13" t="n"/>
      <c r="D12" s="13" t="n"/>
      <c r="E12" s="13" t="n"/>
      <c r="F12" s="13" t="n"/>
      <c r="G12" s="13" t="n"/>
    </row>
    <row r="13">
      <c r="B13" s="4" t="inlineStr">
        <is>
          <t>Debt (current)</t>
        </is>
      </c>
      <c r="C13" s="13" t="n"/>
      <c r="D13" s="13" t="n"/>
      <c r="E13" s="13" t="n"/>
      <c r="F13" s="13" t="n"/>
      <c r="G13" s="13" t="n"/>
    </row>
    <row r="14">
      <c r="B14" s="2" t="inlineStr">
        <is>
          <t>Total current liabilities</t>
        </is>
      </c>
      <c r="C14" s="13">
        <f>C12+C13</f>
        <v/>
      </c>
      <c r="D14" s="13">
        <f>D12+D13</f>
        <v/>
      </c>
      <c r="E14" s="13">
        <f>E12+E13</f>
        <v/>
      </c>
      <c r="F14" s="13">
        <f>F12+F13</f>
        <v/>
      </c>
      <c r="G14" s="13">
        <f>G12+G13</f>
        <v/>
      </c>
    </row>
    <row r="15">
      <c r="B15" s="4" t="inlineStr">
        <is>
          <t>Long-term debt</t>
        </is>
      </c>
      <c r="C15" s="13" t="n"/>
      <c r="D15" s="13" t="n"/>
      <c r="E15" s="13" t="n"/>
      <c r="F15" s="13" t="n"/>
      <c r="G15" s="13" t="n"/>
    </row>
    <row r="16">
      <c r="B16" s="2" t="inlineStr">
        <is>
          <t>Total liabilities</t>
        </is>
      </c>
      <c r="C16" s="13">
        <f>C14+C15</f>
        <v/>
      </c>
      <c r="D16" s="13">
        <f>D14+D15</f>
        <v/>
      </c>
      <c r="E16" s="13">
        <f>E14+E15</f>
        <v/>
      </c>
      <c r="F16" s="13">
        <f>F14+F15</f>
        <v/>
      </c>
      <c r="G16" s="13">
        <f>G14+G15</f>
        <v/>
      </c>
    </row>
    <row r="17">
      <c r="B17" s="2" t="inlineStr">
        <is>
          <t>Total equity</t>
        </is>
      </c>
      <c r="C17" s="13" t="n"/>
      <c r="D17" s="13" t="n"/>
      <c r="E17" s="13" t="n"/>
      <c r="F17" s="13" t="n"/>
      <c r="G17" s="13" t="n"/>
    </row>
    <row r="19">
      <c r="B19" s="16" t="inlineStr">
        <is>
          <t>Balance check (Total assets - Total liabilities - Total equity, should = 0)</t>
        </is>
      </c>
      <c r="C19" s="17">
        <f>C11-C16-C17</f>
        <v/>
      </c>
      <c r="D19" s="17">
        <f>D11-D16-D17</f>
        <v/>
      </c>
      <c r="E19" s="17">
        <f>E11-E16-E17</f>
        <v/>
      </c>
      <c r="F19" s="17">
        <f>F11-F16-F17</f>
        <v/>
      </c>
      <c r="G19" s="17">
        <f>G11-G16-G17</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G13"/>
  <sheetViews>
    <sheetView showGridLines="0" workbookViewId="0">
      <selection activeCell="A1" sqref="A1"/>
    </sheetView>
  </sheetViews>
  <sheetFormatPr baseColWidth="8" defaultRowHeight="15"/>
  <cols>
    <col width="4" customWidth="1" min="1" max="1"/>
    <col width="26" customWidth="1" min="2" max="2"/>
    <col width="13" customWidth="1" min="3" max="3"/>
    <col width="13" customWidth="1" min="4" max="4"/>
    <col width="13" customWidth="1" min="5" max="5"/>
    <col width="13" customWidth="1" min="6" max="6"/>
    <col width="13" customWidth="1" min="7" max="7"/>
  </cols>
  <sheetData>
    <row r="2">
      <c r="B2" s="1" t="inlineStr">
        <is>
          <t>Cash Flow ($mm)</t>
        </is>
      </c>
    </row>
    <row r="4">
      <c r="A4" s="7" t="inlineStr"/>
      <c r="B4" s="7" t="inlineStr">
        <is>
          <t>Line item</t>
        </is>
      </c>
      <c r="C4" s="7" t="inlineStr">
        <is>
          <t>FY-1A</t>
        </is>
      </c>
      <c r="D4" s="7" t="inlineStr">
        <is>
          <t>FY0A</t>
        </is>
      </c>
      <c r="E4" s="7" t="inlineStr">
        <is>
          <t>FY1E</t>
        </is>
      </c>
      <c r="F4" s="7" t="inlineStr">
        <is>
          <t>FY2E</t>
        </is>
      </c>
      <c r="G4" t="inlineStr">
        <is>
          <t>FY3E</t>
        </is>
      </c>
    </row>
    <row r="5">
      <c r="B5" s="4" t="inlineStr">
        <is>
          <t>Net income</t>
        </is>
      </c>
      <c r="C5" s="13" t="n"/>
      <c r="D5" s="13" t="n"/>
      <c r="E5" s="18">
        <f>IS!F18</f>
        <v/>
      </c>
      <c r="F5" s="18">
        <f>IS!G18</f>
        <v/>
      </c>
      <c r="G5" s="18">
        <f>IS!H18</f>
        <v/>
      </c>
    </row>
    <row r="6">
      <c r="B6" s="4" t="inlineStr">
        <is>
          <t>+ D&amp;A</t>
        </is>
      </c>
      <c r="C6" s="13" t="n"/>
      <c r="D6" s="13" t="n"/>
      <c r="E6" s="18">
        <f>IS!F13</f>
        <v/>
      </c>
      <c r="F6" s="18">
        <f>IS!G13</f>
        <v/>
      </c>
      <c r="G6" s="18">
        <f>IS!H13</f>
        <v/>
      </c>
    </row>
    <row r="7">
      <c r="B7" s="4" t="inlineStr">
        <is>
          <t>+/- Change in NWC</t>
        </is>
      </c>
      <c r="C7" s="13" t="n"/>
      <c r="D7" s="13" t="n"/>
      <c r="E7" s="13" t="n"/>
      <c r="F7" s="13" t="n"/>
      <c r="G7" s="13" t="n"/>
    </row>
    <row r="8">
      <c r="B8" s="2" t="inlineStr">
        <is>
          <t>Cash flow from operations</t>
        </is>
      </c>
      <c r="C8" s="13">
        <f>C5+C6+C7</f>
        <v/>
      </c>
      <c r="D8" s="13">
        <f>D5+D6+D7</f>
        <v/>
      </c>
      <c r="E8" s="13">
        <f>E5+E6+E7</f>
        <v/>
      </c>
      <c r="F8" s="13">
        <f>F5+F6+F7</f>
        <v/>
      </c>
      <c r="G8" s="13">
        <f>G5+G6+G7</f>
        <v/>
      </c>
    </row>
    <row r="9">
      <c r="B9" s="4" t="inlineStr">
        <is>
          <t>Capex</t>
        </is>
      </c>
      <c r="C9" s="13" t="n"/>
      <c r="D9" s="13" t="n"/>
      <c r="E9" s="13" t="n"/>
      <c r="F9" s="13" t="n"/>
      <c r="G9" s="13" t="n"/>
    </row>
    <row r="10">
      <c r="B10" s="2" t="inlineStr">
        <is>
          <t>Free cash flow</t>
        </is>
      </c>
      <c r="C10" s="13">
        <f>C8+C9</f>
        <v/>
      </c>
      <c r="D10" s="13">
        <f>D8+D9</f>
        <v/>
      </c>
      <c r="E10" s="13">
        <f>E8+E9</f>
        <v/>
      </c>
      <c r="F10" s="13">
        <f>F8+F9</f>
        <v/>
      </c>
      <c r="G10" s="13">
        <f>G8+G9</f>
        <v/>
      </c>
    </row>
    <row r="11">
      <c r="B11" s="4" t="inlineStr">
        <is>
          <t>Debt issuance/(repayment)</t>
        </is>
      </c>
      <c r="C11" s="13" t="n"/>
      <c r="D11" s="13" t="n"/>
      <c r="E11" s="13" t="n"/>
      <c r="F11" s="13" t="n"/>
      <c r="G11" s="13" t="n"/>
    </row>
    <row r="12">
      <c r="B12" s="4" t="inlineStr">
        <is>
          <t>Dividends/buybacks</t>
        </is>
      </c>
      <c r="C12" s="13" t="n"/>
      <c r="D12" s="13" t="n"/>
      <c r="E12" s="13" t="n"/>
      <c r="F12" s="13" t="n"/>
      <c r="G12" s="13" t="n"/>
    </row>
    <row r="13">
      <c r="B13" s="4" t="inlineStr">
        <is>
          <t>Net change in cash</t>
        </is>
      </c>
      <c r="C13" s="13">
        <f>C10+C11+C12</f>
        <v/>
      </c>
      <c r="D13" s="13">
        <f>D10+D11+D12</f>
        <v/>
      </c>
      <c r="E13" s="13">
        <f>E10+E11+E12</f>
        <v/>
      </c>
      <c r="F13" s="13">
        <f>F10+F11+F12</f>
        <v/>
      </c>
      <c r="G13" s="13">
        <f>G10+G11+G12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I14"/>
  <sheetViews>
    <sheetView showGridLines="0" workbookViewId="0">
      <selection activeCell="A1" sqref="A1"/>
    </sheetView>
  </sheetViews>
  <sheetFormatPr baseColWidth="8" defaultRowHeight="15"/>
  <cols>
    <col width="4" customWidth="1" min="1" max="1"/>
    <col width="26" customWidth="1" min="2" max="2"/>
    <col width="13" customWidth="1" min="3" max="3"/>
    <col width="13" customWidth="1" min="4" max="4"/>
    <col width="13" customWidth="1" min="5" max="5"/>
    <col width="13" customWidth="1" min="6" max="6"/>
    <col width="13" customWidth="1" min="7" max="7"/>
    <col width="4" customWidth="1" min="8" max="8"/>
    <col width="22" customWidth="1" min="9" max="9"/>
    <col width="14" customWidth="1" min="10" max="10"/>
  </cols>
  <sheetData>
    <row r="2">
      <c r="B2" s="1" t="inlineStr">
        <is>
          <t>DCF Valuation</t>
        </is>
      </c>
    </row>
    <row r="4">
      <c r="C4" s="7" t="inlineStr">
        <is>
          <t>FY1E</t>
        </is>
      </c>
      <c r="D4" s="7" t="inlineStr">
        <is>
          <t>FY2E</t>
        </is>
      </c>
      <c r="E4" s="7" t="inlineStr">
        <is>
          <t>FY3E</t>
        </is>
      </c>
      <c r="F4" s="7" t="inlineStr">
        <is>
          <t>FY4E</t>
        </is>
      </c>
      <c r="G4" s="7" t="inlineStr">
        <is>
          <t>FY5E</t>
        </is>
      </c>
      <c r="H4" s="2" t="inlineStr">
        <is>
          <t>Key outputs</t>
        </is>
      </c>
    </row>
    <row r="5">
      <c r="B5" t="inlineStr">
        <is>
          <t>Unlevered FCF</t>
        </is>
      </c>
      <c r="C5" s="19">
        <f>IS!F14*(1-Assumptions!C8)+IS!F13-IS!F5*Assumptions!C10</f>
        <v/>
      </c>
      <c r="D5" s="19">
        <f>IS!G14*(1-Assumptions!D8)+IS!G13-IS!G5*Assumptions!D10</f>
        <v/>
      </c>
      <c r="E5" s="19">
        <f>IS!H14*(1-Assumptions!E8)+IS!H13-IS!H5*Assumptions!E10</f>
        <v/>
      </c>
      <c r="F5" s="19">
        <f>IS!I14*(1-Assumptions!F8)+IS!I13-IS!I5*Assumptions!F10</f>
        <v/>
      </c>
      <c r="G5" s="19">
        <f>F5*(1+Assumptions!G5)</f>
        <v/>
      </c>
      <c r="H5" t="inlineStr">
        <is>
          <t>WACC</t>
        </is>
      </c>
      <c r="I5" s="51" t="n">
        <v>0.095</v>
      </c>
    </row>
    <row r="6">
      <c r="B6" t="inlineStr">
        <is>
          <t>Discount factor</t>
        </is>
      </c>
      <c r="C6" s="21">
        <f>1/(1+$I$5)^(1)</f>
        <v/>
      </c>
      <c r="D6" s="21">
        <f>1/(1+$I$5)^(2)</f>
        <v/>
      </c>
      <c r="E6" s="21">
        <f>1/(1+$I$5)^(3)</f>
        <v/>
      </c>
      <c r="F6" s="21">
        <f>1/(1+$I$5)^(4)</f>
        <v/>
      </c>
      <c r="G6" s="21">
        <f>1/(1+$I$5)^(5)</f>
        <v/>
      </c>
      <c r="H6" t="inlineStr">
        <is>
          <t>Terminal growth</t>
        </is>
      </c>
      <c r="I6" s="51" t="n">
        <v>0.025</v>
      </c>
    </row>
    <row r="7">
      <c r="B7" t="inlineStr">
        <is>
          <t>PV of FCF</t>
        </is>
      </c>
      <c r="C7" s="22">
        <f>C5*C6</f>
        <v/>
      </c>
      <c r="D7" s="22">
        <f>D5*D6</f>
        <v/>
      </c>
      <c r="E7" s="22">
        <f>E5*E6</f>
        <v/>
      </c>
      <c r="F7" s="22">
        <f>F5*F6</f>
        <v/>
      </c>
      <c r="G7" s="22">
        <f>G5*G6</f>
        <v/>
      </c>
      <c r="H7" t="inlineStr">
        <is>
          <t>Terminal value</t>
        </is>
      </c>
      <c r="I7" s="22">
        <f>G5*(1+I6)/(I5-I6)</f>
        <v/>
      </c>
    </row>
    <row r="8">
      <c r="H8" t="inlineStr">
        <is>
          <t>PV of terminal value</t>
        </is>
      </c>
      <c r="I8" s="22">
        <f>I7*G6</f>
        <v/>
      </c>
    </row>
    <row r="9">
      <c r="H9" t="inlineStr">
        <is>
          <t>Sum PV of FCF</t>
        </is>
      </c>
      <c r="I9" s="22">
        <f>SUM(C7:G7)</f>
        <v/>
      </c>
    </row>
    <row r="10">
      <c r="H10" t="inlineStr">
        <is>
          <t>Enterprise value</t>
        </is>
      </c>
      <c r="I10" s="23">
        <f>I8+I9</f>
        <v/>
      </c>
    </row>
    <row r="11">
      <c r="H11" t="inlineStr">
        <is>
          <t>Less: net debt</t>
        </is>
      </c>
      <c r="I11" s="52" t="n">
        <v>-6105</v>
      </c>
    </row>
    <row r="12">
      <c r="H12" t="inlineStr">
        <is>
          <t>Equity value</t>
        </is>
      </c>
      <c r="I12" s="23">
        <f>I10-I11</f>
        <v/>
      </c>
    </row>
    <row r="13">
      <c r="H13" t="inlineStr">
        <is>
          <t>Diluted shares (mm)</t>
        </is>
      </c>
      <c r="I13" s="52" t="n">
        <v>179.7</v>
      </c>
    </row>
    <row r="14">
      <c r="H14" t="inlineStr">
        <is>
          <t>Implied value/share</t>
        </is>
      </c>
      <c r="I14" s="23">
        <f>I12/I13</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H13"/>
  <sheetViews>
    <sheetView showGridLines="0" workbookViewId="0">
      <selection activeCell="A1" sqref="A1"/>
    </sheetView>
  </sheetViews>
  <sheetFormatPr baseColWidth="8" defaultRowHeight="15"/>
  <cols>
    <col width="4" customWidth="1" min="1" max="1"/>
    <col width="22" customWidth="1" min="2" max="2"/>
    <col width="12" customWidth="1" min="3" max="3"/>
    <col width="12" customWidth="1" min="4" max="4"/>
    <col width="12" customWidth="1" min="5" max="5"/>
    <col width="12" customWidth="1" min="6" max="6"/>
    <col width="12" customWidth="1" min="7" max="7"/>
    <col width="12" customWidth="1" min="8" max="8"/>
  </cols>
  <sheetData>
    <row r="2">
      <c r="B2" s="1" t="inlineStr">
        <is>
          <t>Comparable Companies</t>
        </is>
      </c>
    </row>
    <row r="4">
      <c r="A4" s="7" t="inlineStr"/>
      <c r="B4" s="7" t="inlineStr">
        <is>
          <t>Ticker</t>
        </is>
      </c>
      <c r="C4" s="7" t="inlineStr">
        <is>
          <t>Price</t>
        </is>
      </c>
      <c r="D4" s="7" t="inlineStr">
        <is>
          <t>Mkt Cap</t>
        </is>
      </c>
      <c r="E4" s="7" t="inlineStr">
        <is>
          <t>EV</t>
        </is>
      </c>
      <c r="F4" s="7" t="inlineStr">
        <is>
          <t>EV/Rev</t>
        </is>
      </c>
      <c r="G4" s="7" t="inlineStr">
        <is>
          <t>EV/EBITDA</t>
        </is>
      </c>
      <c r="H4" s="7" t="inlineStr">
        <is>
          <t>P/E</t>
        </is>
      </c>
    </row>
    <row r="5">
      <c r="B5" s="3" t="inlineStr">
        <is>
          <t>[TICKER]</t>
        </is>
      </c>
      <c r="C5" s="11" t="n">
        <v>0</v>
      </c>
      <c r="D5" s="11" t="n">
        <v>0</v>
      </c>
      <c r="E5" s="11" t="n">
        <v>0</v>
      </c>
      <c r="F5" s="25" t="n">
        <v>0</v>
      </c>
      <c r="G5" s="25" t="n">
        <v>0</v>
      </c>
      <c r="H5" s="25" t="n">
        <v>0</v>
      </c>
    </row>
    <row r="6">
      <c r="B6" s="3" t="inlineStr">
        <is>
          <t>[TICKER]</t>
        </is>
      </c>
      <c r="C6" s="11" t="n">
        <v>0</v>
      </c>
      <c r="D6" s="11" t="n">
        <v>0</v>
      </c>
      <c r="E6" s="11" t="n">
        <v>0</v>
      </c>
      <c r="F6" s="25" t="n">
        <v>0</v>
      </c>
      <c r="G6" s="25" t="n">
        <v>0</v>
      </c>
      <c r="H6" s="25" t="n">
        <v>0</v>
      </c>
    </row>
    <row r="7">
      <c r="B7" s="3" t="inlineStr">
        <is>
          <t>[TICKER]</t>
        </is>
      </c>
      <c r="C7" s="11" t="n">
        <v>0</v>
      </c>
      <c r="D7" s="11" t="n">
        <v>0</v>
      </c>
      <c r="E7" s="11" t="n">
        <v>0</v>
      </c>
      <c r="F7" s="25" t="n">
        <v>0</v>
      </c>
      <c r="G7" s="25" t="n">
        <v>0</v>
      </c>
      <c r="H7" s="25" t="n">
        <v>0</v>
      </c>
    </row>
    <row r="8">
      <c r="B8" s="3" t="inlineStr">
        <is>
          <t>[TICKER]</t>
        </is>
      </c>
      <c r="C8" s="11" t="n">
        <v>0</v>
      </c>
      <c r="D8" s="11" t="n">
        <v>0</v>
      </c>
      <c r="E8" s="11" t="n">
        <v>0</v>
      </c>
      <c r="F8" s="25" t="n">
        <v>0</v>
      </c>
      <c r="G8" s="25" t="n">
        <v>0</v>
      </c>
      <c r="H8" s="25" t="n">
        <v>0</v>
      </c>
    </row>
    <row r="9">
      <c r="B9" s="3" t="inlineStr">
        <is>
          <t>[TICKER]</t>
        </is>
      </c>
      <c r="C9" s="11" t="n">
        <v>0</v>
      </c>
      <c r="D9" s="11" t="n">
        <v>0</v>
      </c>
      <c r="E9" s="11" t="n">
        <v>0</v>
      </c>
      <c r="F9" s="25" t="n">
        <v>0</v>
      </c>
      <c r="G9" s="25" t="n">
        <v>0</v>
      </c>
      <c r="H9" s="25" t="n">
        <v>0</v>
      </c>
    </row>
    <row r="10">
      <c r="B10" s="3" t="inlineStr">
        <is>
          <t>[TICKER]</t>
        </is>
      </c>
      <c r="C10" s="11" t="n">
        <v>0</v>
      </c>
      <c r="D10" s="11" t="n">
        <v>0</v>
      </c>
      <c r="E10" s="11" t="n">
        <v>0</v>
      </c>
      <c r="F10" s="25" t="n">
        <v>0</v>
      </c>
      <c r="G10" s="25" t="n">
        <v>0</v>
      </c>
      <c r="H10" s="25" t="n">
        <v>0</v>
      </c>
    </row>
    <row r="11">
      <c r="B11" s="3" t="inlineStr">
        <is>
          <t>[TICKER]</t>
        </is>
      </c>
      <c r="C11" s="11" t="n">
        <v>0</v>
      </c>
      <c r="D11" s="11" t="n">
        <v>0</v>
      </c>
      <c r="E11" s="11" t="n">
        <v>0</v>
      </c>
      <c r="F11" s="25" t="n">
        <v>0</v>
      </c>
      <c r="G11" s="25" t="n">
        <v>0</v>
      </c>
      <c r="H11" s="25" t="n">
        <v>0</v>
      </c>
    </row>
    <row r="13">
      <c r="B13" s="2" t="inlineStr">
        <is>
          <t>Median</t>
        </is>
      </c>
      <c r="C13" s="23">
        <f>MEDIAN(C5:C12)</f>
        <v/>
      </c>
      <c r="D13" s="23">
        <f>MEDIAN(D5:D12)</f>
        <v/>
      </c>
      <c r="E13" s="23">
        <f>MEDIAN(E5:E12)</f>
        <v/>
      </c>
      <c r="F13" s="26">
        <f>MEDIAN(F5:F12)</f>
        <v/>
      </c>
      <c r="G13" s="26">
        <f>MEDIAN(G5:G12)</f>
        <v/>
      </c>
      <c r="H13" s="26">
        <f>MEDIAN(H5:H12)</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G9"/>
  <sheetViews>
    <sheetView showGridLines="0" workbookViewId="0">
      <selection activeCell="A1" sqref="A1"/>
    </sheetView>
  </sheetViews>
  <sheetFormatPr baseColWidth="8" defaultRowHeight="15"/>
  <cols>
    <col width="4" customWidth="1" min="1" max="1"/>
    <col width="20" customWidth="1" min="2" max="2"/>
    <col width="12" customWidth="1" min="3" max="3"/>
    <col width="12" customWidth="1" min="4" max="4"/>
    <col width="12" customWidth="1" min="5" max="5"/>
    <col width="12" customWidth="1" min="6" max="6"/>
    <col width="12" customWidth="1" min="7" max="7"/>
    <col width="12" customWidth="1" min="8" max="8"/>
  </cols>
  <sheetData>
    <row r="2">
      <c r="B2" s="1" t="inlineStr">
        <is>
          <t>Sensitivity — Implied Value/Share</t>
        </is>
      </c>
    </row>
    <row r="4">
      <c r="B4" s="27" t="inlineStr">
        <is>
          <t>WACC \ Term. growth</t>
        </is>
      </c>
      <c r="C4" s="28" t="n">
        <v>0.015</v>
      </c>
      <c r="D4" s="28" t="n">
        <v>0.02</v>
      </c>
      <c r="E4" s="28" t="n">
        <v>0.025</v>
      </c>
      <c r="F4" s="28" t="n">
        <v>0.03</v>
      </c>
      <c r="G4" s="28" t="n">
        <v>0.035</v>
      </c>
    </row>
    <row r="5">
      <c r="B5" s="28" t="n">
        <v>0.08</v>
      </c>
      <c r="C5" s="16" t="inlineStr">
        <is>
          <t>[data table — Excel What-If Analysis]</t>
        </is>
      </c>
      <c r="D5" s="16" t="inlineStr">
        <is>
          <t>[data table — Excel What-If Analysis]</t>
        </is>
      </c>
      <c r="E5" s="16" t="inlineStr">
        <is>
          <t>[data table — Excel What-If Analysis]</t>
        </is>
      </c>
      <c r="F5" s="16" t="inlineStr">
        <is>
          <t>[data table — Excel What-If Analysis]</t>
        </is>
      </c>
      <c r="G5" s="16" t="inlineStr">
        <is>
          <t>[data table — Excel What-If Analysis]</t>
        </is>
      </c>
    </row>
    <row r="6">
      <c r="B6" s="28" t="n">
        <v>0.09</v>
      </c>
      <c r="C6" s="16" t="inlineStr">
        <is>
          <t>[data table — Excel What-If Analysis]</t>
        </is>
      </c>
      <c r="D6" s="16" t="inlineStr">
        <is>
          <t>[data table — Excel What-If Analysis]</t>
        </is>
      </c>
      <c r="E6" s="16" t="inlineStr">
        <is>
          <t>[data table — Excel What-If Analysis]</t>
        </is>
      </c>
      <c r="F6" s="16" t="inlineStr">
        <is>
          <t>[data table — Excel What-If Analysis]</t>
        </is>
      </c>
      <c r="G6" s="16" t="inlineStr">
        <is>
          <t>[data table — Excel What-If Analysis]</t>
        </is>
      </c>
    </row>
    <row r="7">
      <c r="B7" s="28" t="n">
        <v>0.1</v>
      </c>
      <c r="C7" s="16" t="inlineStr">
        <is>
          <t>[data table — Excel What-If Analysis]</t>
        </is>
      </c>
      <c r="D7" s="16" t="inlineStr">
        <is>
          <t>[data table — Excel What-If Analysis]</t>
        </is>
      </c>
      <c r="E7" s="16" t="inlineStr">
        <is>
          <t>[data table — Excel What-If Analysis]</t>
        </is>
      </c>
      <c r="F7" s="16" t="inlineStr">
        <is>
          <t>[data table — Excel What-If Analysis]</t>
        </is>
      </c>
      <c r="G7" s="16" t="inlineStr">
        <is>
          <t>[data table — Excel What-If Analysis]</t>
        </is>
      </c>
    </row>
    <row r="8">
      <c r="B8" s="28" t="n">
        <v>0.11</v>
      </c>
      <c r="C8" s="16" t="inlineStr">
        <is>
          <t>[data table — Excel What-If Analysis]</t>
        </is>
      </c>
      <c r="D8" s="16" t="inlineStr">
        <is>
          <t>[data table — Excel What-If Analysis]</t>
        </is>
      </c>
      <c r="E8" s="16" t="inlineStr">
        <is>
          <t>[data table — Excel What-If Analysis]</t>
        </is>
      </c>
      <c r="F8" s="16" t="inlineStr">
        <is>
          <t>[data table — Excel What-If Analysis]</t>
        </is>
      </c>
      <c r="G8" s="16" t="inlineStr">
        <is>
          <t>[data table — Excel What-If Analysis]</t>
        </is>
      </c>
    </row>
    <row r="9">
      <c r="B9" s="28" t="n">
        <v>0.12</v>
      </c>
      <c r="C9" s="16" t="inlineStr">
        <is>
          <t>[data table — Excel What-If Analysis]</t>
        </is>
      </c>
      <c r="D9" s="16" t="inlineStr">
        <is>
          <t>[data table — Excel What-If Analysis]</t>
        </is>
      </c>
      <c r="E9" s="16" t="inlineStr">
        <is>
          <t>[data table — Excel What-If Analysis]</t>
        </is>
      </c>
      <c r="F9" s="16" t="inlineStr">
        <is>
          <t>[data table — Excel What-If Analysis]</t>
        </is>
      </c>
      <c r="G9" s="16" t="inlineStr">
        <is>
          <t>[data table — Excel What-If Analysis]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F14"/>
  <sheetViews>
    <sheetView showGridLines="0" workbookViewId="0">
      <selection activeCell="A1" sqref="A1"/>
    </sheetView>
  </sheetViews>
  <sheetFormatPr baseColWidth="8" defaultRowHeight="15"/>
  <cols>
    <col width="4" customWidth="1" min="1" max="1"/>
    <col width="14" customWidth="1" min="2" max="2"/>
    <col width="16" customWidth="1" min="3" max="3"/>
    <col width="30" customWidth="1" min="4" max="4"/>
    <col width="30" customWidth="1" min="5" max="5"/>
    <col width="16" customWidth="1" min="6" max="6"/>
  </cols>
  <sheetData>
    <row r="2">
      <c r="B2" s="1" t="inlineStr">
        <is>
          <t>Refresh Log</t>
        </is>
      </c>
    </row>
    <row r="4">
      <c r="A4" s="7" t="inlineStr"/>
      <c r="B4" s="7" t="inlineStr">
        <is>
          <t>Date</t>
        </is>
      </c>
      <c r="C4" s="7" t="inlineStr">
        <is>
          <t>Trigger</t>
        </is>
      </c>
      <c r="D4" s="7" t="inlineStr">
        <is>
          <t>What changed</t>
        </is>
      </c>
      <c r="E4" s="7" t="inlineStr">
        <is>
          <t>Reviewer notes</t>
        </is>
      </c>
      <c r="F4" s="7" t="inlineStr">
        <is>
          <t>Next check</t>
        </is>
      </c>
    </row>
    <row r="5">
      <c r="B5" s="29" t="inlineStr">
        <is>
          <t>2026-10-01</t>
        </is>
      </c>
      <c r="C5" s="29" t="inlineStr">
        <is>
          <t>Historical actuals block filled after the BASE template fix</t>
        </is>
      </c>
      <c r="D5" s="29" t="inlineStr">
        <is>
          <t>The BASE template's income-statement historical block carried no input marker and no derived formulas, so the income statement, the DCF, and diluted EPS all evaluated to zero. With the template fixed, this fills FY2017-FY2019 revenue, cost of revenue, operating expense, depreciation and amortisation, interest, tax, and share count. Depreciation comes from the cash flow statement rather than EDGAR, because Tesla tagged EDGAR's D&amp;A concept in one filing only and with a narrower figure. With D&amp;A real and taken out of the operating expense row, the EBITDA line is a real EBITDA and EBIT ties exactly to the disclosed operating income in all three years.</t>
        </is>
      </c>
      <c r="E5" s="29" t="inlineStr">
        <is>
          <t>External historical case; human stakeholder approval remains pending. Read three things before using any number here. First, the share counts are period-end outstanding rather than weighted diluted, which understates earnings per share. Second, the forward D&amp;A driver is the product of a capex ratio and a D&amp;A-to-capex ratio, and the second of those is unstable across the window; the pair is set so the product ties to D&amp;A as a share of revenue, which is stable, and the two rows must be read together. Third, the discounted cash flow values the equity at roughly a quarter of the price the February 2020 offering actually cleared at. That is not a defect in the arithmetic. It is what a cash flow model built on Tesla's FY2019 operating margins produces, and the gap between the two was the whole argument about Tesla at the time. The case exists to show the offering mechanics, not to settle that argument.</t>
        </is>
      </c>
      <c r="F5" s="29" t="inlineStr">
        <is>
          <t>On builder change or annual review</t>
        </is>
      </c>
    </row>
    <row r="6">
      <c r="B6" s="29" t="n"/>
      <c r="C6" s="29" t="n"/>
      <c r="D6" s="29" t="n"/>
      <c r="E6" s="29" t="n"/>
      <c r="F6" s="29" t="n"/>
    </row>
    <row r="7">
      <c r="B7" s="29" t="n"/>
      <c r="C7" s="29" t="n"/>
      <c r="D7" s="29" t="n"/>
      <c r="E7" s="29" t="n"/>
      <c r="F7" s="29" t="n"/>
    </row>
    <row r="8">
      <c r="B8" s="29" t="n"/>
      <c r="C8" s="29" t="n"/>
      <c r="D8" s="29" t="n"/>
      <c r="E8" s="29" t="n"/>
      <c r="F8" s="29" t="n"/>
    </row>
    <row r="9">
      <c r="B9" s="29" t="n"/>
      <c r="C9" s="29" t="n"/>
      <c r="D9" s="29" t="n"/>
      <c r="E9" s="29" t="n"/>
      <c r="F9" s="29" t="n"/>
    </row>
    <row r="10">
      <c r="B10" s="29" t="n"/>
      <c r="C10" s="29" t="n"/>
      <c r="D10" s="29" t="n"/>
      <c r="E10" s="29" t="n"/>
      <c r="F10" s="29" t="n"/>
    </row>
    <row r="11">
      <c r="B11" s="29" t="n"/>
      <c r="C11" s="29" t="n"/>
      <c r="D11" s="29" t="n"/>
      <c r="E11" s="29" t="n"/>
      <c r="F11" s="29" t="n"/>
    </row>
    <row r="12">
      <c r="B12" s="29" t="n"/>
      <c r="C12" s="29" t="n"/>
      <c r="D12" s="29" t="n"/>
      <c r="E12" s="29" t="n"/>
      <c r="F12" s="29" t="n"/>
    </row>
    <row r="13">
      <c r="B13" s="29" t="n"/>
      <c r="C13" s="29" t="n"/>
      <c r="D13" s="29" t="n"/>
      <c r="E13" s="29" t="n"/>
      <c r="F13" s="29" t="n"/>
    </row>
    <row r="14">
      <c r="B14" s="29" t="n"/>
      <c r="C14" s="29" t="n"/>
      <c r="D14" s="29" t="n"/>
      <c r="E14" s="29" t="n"/>
      <c r="F14" s="2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2026-10-01T14:18:28Z</dcterms:created>
  <dcterms:modified xmlns:dcterms="http://purl.org/dc/terms/" xmlns:xsi="http://www.w3.org/2001/XMLSchema-instance" xsi:type="dcterms:W3CDTF">2026-10-01T15:26:56Z</dcterms:modified>
</cp:coreProperties>
</file>