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Debt Sustainability" sheetId="6" state="visible" r:id="rId8"/>
    <sheet name="Revenue &amp; Expenditure" sheetId="7" state="visible" r:id="rId9"/>
    <sheet name="Debt Service" sheetId="8" state="visible" r:id="rId10"/>
    <sheet name="Coverage" sheetId="9" state="visible" r:id="rId11"/>
    <sheet name="Scenarios" sheetId="10" state="visible" r:id="rId12"/>
    <sheet name="Sensitivity" sheetId="11" state="visible" r:id="rId13"/>
    <sheet name="Checks" sheetId="12" state="visible" r:id="rId14"/>
    <sheet name="Sources" sheetId="13" state="visible" r:id="rId15"/>
    <sheet name="RefreshLog" sheetId="14" state="visible" r:id="rId16"/>
    <sheet name="Revenue Stress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<sst xmlns="http://schemas.openxmlformats.org/spreadsheetml/2006/main" count="415" uniqueCount="275">
  <si>
    <t xml:space="preserve">[ISSUER] — Public Finance Credit Model</t>
  </si>
  <si>
    <t xml:space="preserve">Issuer:</t>
  </si>
  <si>
    <t xml:space="preserve">[Sovereign / state / municipality / authority]</t>
  </si>
  <si>
    <t xml:space="preserve">Instrument:</t>
  </si>
  <si>
    <t xml:space="preserve">GO / revenue bond / sovereign note</t>
  </si>
  <si>
    <t xml:space="preserve">Last refreshed:</t>
  </si>
  <si>
    <t xml:space="preserve">2026-08-04</t>
  </si>
  <si>
    <t xml:space="preserve">Next payment / issuance:</t>
  </si>
  <si>
    <t xml:space="preserve">[date]</t>
  </si>
  <si>
    <t xml:space="preserve">Refresh cadence:</t>
  </si>
  <si>
    <t xml:space="preserve">Weekly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</si>
  <si>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</si>
  <si>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</si>
  <si>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</si>
  <si>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</si>
  <si>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</si>
  <si>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</si>
  <si>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</si>
  <si>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</si>
  <si>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</si>
  <si>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</si>
  <si>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</si>
  <si>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</si>
  <si>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</si>
  <si>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Public Finance — Institutional Decision Surface</t>
  </si>
  <si>
    <t xml:space="preserve">Model ID</t>
  </si>
  <si>
    <t xml:space="preserve">07</t>
  </si>
  <si>
    <t xml:space="preserve">Domain</t>
  </si>
  <si>
    <t xml:space="preserve">Public Finance</t>
  </si>
  <si>
    <t xml:space="preserve">Declared maturity</t>
  </si>
  <si>
    <t xml:space="preserve">M2</t>
  </si>
  <si>
    <t xml:space="preserve">Canonical builder</t>
  </si>
  <si>
    <t xml:space="preserve">tools/builders/build_public_finance_release.py</t>
  </si>
  <si>
    <t xml:space="preserve">Decision arena</t>
  </si>
  <si>
    <t xml:space="preserve">debt management office, budget office, governing body, investors and rating agencies</t>
  </si>
  <si>
    <t xml:space="preserve">Committee artifact</t>
  </si>
  <si>
    <t xml:space="preserve">debt-affordability and authorization package</t>
  </si>
  <si>
    <t xml:space="preserve">Operating cadence</t>
  </si>
  <si>
    <t xml:space="preserve">monthly budget; quarterly debt; annual DSA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</si>
  <si>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</si>
  <si>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</si>
  <si>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</si>
  <si>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</si>
  <si>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</si>
  <si>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</si>
  <si>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debt-to-revenue / GDP path</t>
  </si>
  <si>
    <t xml:space="preserve">OPEN</t>
  </si>
  <si>
    <t xml:space="preserve">primary balance and debt-stabilizing balance</t>
  </si>
  <si>
    <t xml:space="preserve">debt service coverage and reserves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</si>
  <si>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</si>
  <si>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</si>
  <si>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</si>
  <si>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revenues are legally pledged?</t>
  </si>
  <si>
    <t xml:space="preserve">Which reserves are actually spendable?</t>
  </si>
  <si>
    <t xml:space="preserve">What is the refinancing share over the next three years?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</si>
  <si>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</si>
  <si>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</si>
  <si>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</si>
  <si>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growth and revenue shock</t>
  </si>
  <si>
    <t xml:space="preserve">rate / FX shock</t>
  </si>
  <si>
    <t xml:space="preserve">primary-balance slippage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</si>
  <si>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</si>
  <si>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</si>
  <si>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</si>
  <si>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official budget and CAFR/ACFR</t>
  </si>
  <si>
    <t xml:space="preserve">debt policy and authorization</t>
  </si>
  <si>
    <t xml:space="preserve">official statement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</si>
  <si>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</si>
  <si>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</si>
  <si>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</si>
  <si>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debt dynamics identity</t>
  </si>
  <si>
    <t xml:space="preserve">coverage definition matches pledge</t>
  </si>
  <si>
    <t xml:space="preserve">reserves exclude restricted funds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</si>
  <si>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</si>
  <si>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</si>
  <si>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</si>
  <si>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mixing cash and accrual bases</t>
  </si>
  <si>
    <t xml:space="preserve">treating one-time transfers as recurring</t>
  </si>
  <si>
    <t xml:space="preserve">ignoring overlapping debt and pensions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</si>
  <si>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</si>
  <si>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</si>
  <si>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</si>
  <si>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</si>
  <si>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</si>
  <si>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</si>
  <si>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</si>
  <si>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</si>
  <si>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</si>
  <si>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</si>
  <si>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</si>
  <si>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</si>
  <si>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IMF Debt Sustainability Analysis</t>
  </si>
  <si>
    <t xml:space="preserve">baseline and debt stress testing</t>
  </si>
  <si>
    <t xml:space="preserve">https://www.imf.org/external/pubs/ft/dsa/index.htm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</si>
  <si>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</si>
  <si>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</si>
  <si>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</si>
  <si>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</si>
  <si>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</si>
  <si>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</si>
  <si>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</si>
  <si>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</si>
  <si>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</si>
  <si>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</si>
  <si>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</si>
  <si>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</si>
  <si>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</si>
  <si>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</si>
  <si>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</si>
  <si>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</si>
  <si>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budget actuals</t>
  </si>
  <si>
    <t xml:space="preserve">monthly/annual</t>
  </si>
  <si>
    <t xml:space="preserve">fund and government-wide mapping</t>
  </si>
  <si>
    <t xml:space="preserve">TO MAP</t>
  </si>
  <si>
    <t xml:space="preserve">debt service</t>
  </si>
  <si>
    <t xml:space="preserve">CUSIP and legal-security tie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</si>
  <si>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</si>
  <si>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</si>
  <si>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</si>
  <si>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</si>
  <si>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</si>
  <si>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</si>
  <si>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Public Finance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</si>
  <si>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</si>
  <si>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</si>
  <si>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</si>
  <si>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</si>
  <si>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Population / service base</t>
  </si>
  <si>
    <t xml:space="preserve">Recurring revenue</t>
  </si>
  <si>
    <t xml:space="preserve">Recurring expenditure</t>
  </si>
  <si>
    <t xml:space="preserve">Capital expenditure</t>
  </si>
  <si>
    <t xml:space="preserve">Cash &amp; unrestricted reserves</t>
  </si>
  <si>
    <t xml:space="preserve">Gross debt</t>
  </si>
  <si>
    <t xml:space="preserve">Annual scheduled principal</t>
  </si>
  <si>
    <t xml:space="preserve">Pledged revenue</t>
  </si>
  <si>
    <t xml:space="preserve">Intergovernmental transfers</t>
  </si>
  <si>
    <t xml:space="preserve">Revenue growth</t>
  </si>
  <si>
    <t xml:space="preserve">Expenditure growth</t>
  </si>
  <si>
    <t xml:space="preserve">Effective interest rate (r)</t>
  </si>
  <si>
    <t xml:space="preserve">Maximum debt / revenue</t>
  </si>
  <si>
    <t xml:space="preserve">Minimum DSCR</t>
  </si>
  <si>
    <t xml:space="preserve">Minimum days cash</t>
  </si>
  <si>
    <t xml:space="preserve">Pension / OPEB contribution</t>
  </si>
  <si>
    <t xml:space="preserve">Nominal revenue-base growth (g)</t>
  </si>
  <si>
    <t xml:space="preserve">Current primary balance</t>
  </si>
  <si>
    <t xml:space="preserve">Debt-service reserve fund</t>
  </si>
  <si>
    <t xml:space="preserve">Debt Sustainability Analysis</t>
  </si>
  <si>
    <t xml:space="preserve">Metric</t>
  </si>
  <si>
    <t xml:space="preserve">Units</t>
  </si>
  <si>
    <t xml:space="preserve">Interpretation</t>
  </si>
  <si>
    <t xml:space="preserve">Debt ratio</t>
  </si>
  <si>
    <t xml:space="preserve">0.0x;[Red](0.0x);-</t>
  </si>
  <si>
    <t xml:space="preserve">Debt / recurring revenue or GDP proxy</t>
  </si>
  <si>
    <t xml:space="preserve">Effective rate (r)</t>
  </si>
  <si>
    <t xml:space="preserve">0.0%;[Red](0.0%);-</t>
  </si>
  <si>
    <t xml:space="preserve">Weighted effective debt cost</t>
  </si>
  <si>
    <t xml:space="preserve">Nominal growth (g)</t>
  </si>
  <si>
    <t xml:space="preserve">Nominal revenue-base growth</t>
  </si>
  <si>
    <t xml:space="preserve">r - g</t>
  </si>
  <si>
    <t xml:space="preserve">Positive differential raises stabilization burden</t>
  </si>
  <si>
    <t xml:space="preserve">Surplus positive</t>
  </si>
  <si>
    <t xml:space="preserve">Debt-stabilizing primary balance</t>
  </si>
  <si>
    <t xml:space="preserve">Required balance to stabilize debt ratio</t>
  </si>
  <si>
    <t xml:space="preserve">Primary-balance gap</t>
  </si>
  <si>
    <t xml:space="preserve">Positive is stronger than stabilizing</t>
  </si>
  <si>
    <t xml:space="preserve">One-year projected debt ratio</t>
  </si>
  <si>
    <t xml:space="preserve">Standard debt-dynamics identity</t>
  </si>
  <si>
    <t xml:space="preserve">Trajectory</t>
  </si>
  <si>
    <t xml:space="preserve">status</t>
  </si>
  <si>
    <t xml:space="preserve">Screen excludes stock-flow adjustments</t>
  </si>
  <si>
    <t xml:space="preserve">Operating Forecast</t>
  </si>
  <si>
    <t xml:space="preserve">$mm</t>
  </si>
  <si>
    <t xml:space="preserve">Current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</si>
  <si>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</si>
  <si>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</si>
  <si>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</si>
  <si>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</si>
  <si>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</si>
  <si>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Operating surplus</t>
  </si>
  <si>
    <t xml:space="preserve">Operating margin</t>
  </si>
  <si>
    <t xml:space="preserve">Net operating result</t>
  </si>
  <si>
    <t xml:space="preserve">FCF before debt service</t>
  </si>
  <si>
    <t xml:space="preserve">Debt Service, Borrowing &amp; Reserves</t>
  </si>
  <si>
    <t xml:space="preserve">Beginning debt</t>
  </si>
  <si>
    <t xml:space="preserve">Scheduled principal</t>
  </si>
  <si>
    <t xml:space="preserve">Cash interest</t>
  </si>
  <si>
    <t xml:space="preserve">Total debt service</t>
  </si>
  <si>
    <t xml:space="preserve">New borrowing / funding gap</t>
  </si>
  <si>
    <t xml:space="preserve">Ending debt</t>
  </si>
  <si>
    <t xml:space="preserve">Beginning reserves</t>
  </si>
  <si>
    <t xml:space="preserve">Ending reserves</t>
  </si>
  <si>
    <t xml:space="preserve">Revenue-bond DSCR</t>
  </si>
  <si>
    <t xml:space="preserve">Coverage, Liquidity &amp; Debt Burden</t>
  </si>
  <si>
    <t xml:space="preserve">Debt / recurring revenue</t>
  </si>
  <si>
    <t xml:space="preserve">Debt burden headroom</t>
  </si>
  <si>
    <t xml:space="preserve">DSCR headroom</t>
  </si>
  <si>
    <t xml:space="preserve">Days cash on hand</t>
  </si>
  <si>
    <t xml:space="preserve">Liquidity headroom</t>
  </si>
  <si>
    <t xml:space="preserve">Pension burden / revenue</t>
  </si>
  <si>
    <t xml:space="preserve">Scenario Summary</t>
  </si>
  <si>
    <t xml:space="preserve">Threshold / interpretation</t>
  </si>
  <si>
    <t xml:space="preserve">Decision screen</t>
  </si>
  <si>
    <t xml:space="preserve">Debt / revenue</t>
  </si>
  <si>
    <t xml:space="preserve">Days cash</t>
  </si>
  <si>
    <t xml:space="preserve">Overall</t>
  </si>
  <si>
    <t xml:space="preserve">Debt Ratio Sensitivity — One Year</t>
  </si>
  <si>
    <t xml:space="preserve">Primary balance / r-g</t>
  </si>
  <si>
    <t xml:space="preserve">Model Checks</t>
  </si>
  <si>
    <t xml:space="preserve">Check</t>
  </si>
  <si>
    <t xml:space="preserve">Debt nonnegative</t>
  </si>
  <si>
    <t xml:space="preserve">Reserves nonnegative</t>
  </si>
  <si>
    <t xml:space="preserve">Coverage finite</t>
  </si>
  <si>
    <t xml:space="preserve">No coverage breach</t>
  </si>
  <si>
    <t xml:space="preserve">Debt dynamics bounded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</si>
  <si>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</si>
  <si>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</si>
  <si>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</si>
  <si>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</si>
  <si>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Official statements / disclosures</t>
  </si>
  <si>
    <t xml:space="preserve">EMMA, finance ministry, issuer or audited report</t>
  </si>
  <si>
    <t xml:space="preserve">[period]</t>
  </si>
  <si>
    <t xml:space="preserve">Revenue, expenditure, debt and reserves</t>
  </si>
  <si>
    <t xml:space="preserve">Accounting standards</t>
  </si>
  <si>
    <t xml:space="preserve">GASB, IPSAS, or applicable national standards</t>
  </si>
  <si>
    <t xml:space="preserve">Map reporting consistently</t>
  </si>
  <si>
    <t xml:space="preserve">Economic and demographic data</t>
  </si>
  <si>
    <t xml:space="preserve">Official statistics, FRED, or multilateral dataset</t>
  </si>
  <si>
    <t xml:space="preserve">Freeze series and release vintage</t>
  </si>
  <si>
    <t xml:space="preserve">Benchmark rates</t>
  </si>
  <si>
    <t xml:space="preserve">Treasury or sovereign curve</t>
  </si>
  <si>
    <t xml:space="preserve">Refinancing and relative-value assumptions</t>
  </si>
  <si>
    <t xml:space="preserve">Debt sustainability method</t>
  </si>
  <si>
    <t xml:space="preserve">IMF / World Bank public methodology</t>
  </si>
  <si>
    <t xml:space="preserve">Document debt-dynamics and stress choices</t>
  </si>
  <si>
    <t xml:space="preserve">Finance-Segway six-engine fixture public-reference-stable</t>
  </si>
  <si>
    <t xml:space="preserve">repo://standards/frontier/legacy_engine_registry.json</t>
  </si>
  <si>
    <t xml:space="preserve">Synthetic engineering fixture derived from the independent legacy-engine oracle registry; not investment evidence and not M4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</si>
  <si>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</si>
  <si>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</si>
  <si>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</si>
  <si>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</si>
  <si>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</si>
  <si>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</si>
  <si>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Six-engine frontier release</t>
  </si>
  <si>
    <t xml:space="preserve">Applied conventional fixture public-reference-stable</t>
  </si>
  <si>
    <t xml:space="preserve">Synthetic engineering benchmark; not M4 evidence</t>
  </si>
  <si>
    <t xml:space="preserve">On builder, source, contract, or threshold change</t>
  </si>
  <si>
    <t xml:space="preserve">Debt Dynamics, Revenue Coverage, Reserves, and Fiscal Stress</t>
  </si>
  <si>
    <t xml:space="preserve">Adversarial</t>
  </si>
  <si>
    <t xml:space="preserve">Units / control</t>
  </si>
  <si>
    <t xml:space="preserve">Opening debt ratio</t>
  </si>
  <si>
    <t xml:space="preserve">Nominal interest rate</t>
  </si>
  <si>
    <t xml:space="preserve">Nominal growth rate</t>
  </si>
  <si>
    <t xml:space="preserve">Primary balance ratio</t>
  </si>
  <si>
    <t xml:space="preserve">Debt service</t>
  </si>
  <si>
    <t xml:space="preserve">Unrestricted reserves</t>
  </si>
  <si>
    <t xml:space="preserve">Operating expenditure</t>
  </si>
  <si>
    <t xml:space="preserve">Maximum debt ratio</t>
  </si>
  <si>
    <t xml:space="preserve">Minimum reserve coverage</t>
  </si>
  <si>
    <t xml:space="preserve">Projected debt ratio</t>
  </si>
  <si>
    <t xml:space="preserve">DSCR</t>
  </si>
  <si>
    <t xml:space="preserve">Reserve coverage</t>
  </si>
  <si>
    <t xml:space="preserve">Public Finance Decision Dashboard and Independent Checks</t>
  </si>
  <si>
    <t xml:space="preserve">Check / decision</t>
  </si>
  <si>
    <t xml:space="preserve">Interpretation / action</t>
  </si>
  <si>
    <t xml:space="preserve">Debt-ratio identity residual</t>
  </si>
  <si>
    <t xml:space="preserve">Projected debt must follow the debt-dynamics identity.</t>
  </si>
  <si>
    <t xml:space="preserve">Stabilizing-balance residual</t>
  </si>
  <si>
    <t xml:space="preserve">Required primary balance must reconcile to r-g and opening debt.</t>
  </si>
  <si>
    <t xml:space="preserve">Escalate debt trajectories above the approved ceiling.</t>
  </si>
  <si>
    <t xml:space="preserve">A negative gap implies a destabilizing fiscal stance.</t>
  </si>
  <si>
    <t xml:space="preserve">Debt-service coverage</t>
  </si>
  <si>
    <t xml:space="preserve">Pledged revenue must cover scheduled debt service.</t>
  </si>
  <si>
    <t xml:space="preserve">Unrestricted reserves must cover the approved expenditure buffer.</t>
  </si>
  <si>
    <t xml:space="preserve">Overall model status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</si>
</sst>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[RED]\(#,##0\);\-"/>
    <numFmt numFmtId="166" formatCode="\$#,##0.0;[RED]&quot;($&quot;#,##0.0\);\-"/>
    <numFmt numFmtId="167" formatCode="0.0%;[RED]\(0.0%\);\-"/>
    <numFmt numFmtId="168" formatCode="0.0\x;[RED]\(0.0&quot;x)&quot;;\-"/>
    <numFmt numFmtId="169" formatCode="0.0"/>
    <numFmt numFmtId="170" formatCode="0.0\x"/>
    <numFmt numFmtId="171" formatCode="0.0%;\(0.0%\);\-"/>
    <numFmt numFmtId="172" formatCode="\$#,##0;&quot;($&quot;#,##0\);\-"/>
    <numFmt numFmtId="173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  <row r="9" customFormat="false" ht="15" hidden="false" customHeight="false" outlineLevel="0" collapsed="false">
      <c r="B9" s="2" t="s">
        <v>11</v>
      </c>
      <c r="C9" s="4" t="s">
        <v>12</v>
      </c>
    </row>
    <row r="10" customFormat="false" ht="15" hidden="false" customHeight="false" outlineLevel="0" collapsed="false">
      <c r="B10" s="2" t="s">
        <v>13</v>
      </c>
      <c r="C10" s="3" t="s">
        <v>14</v>
      </c>
    </row>
    <row r="13" customFormat="false" ht="15" hidden="false" customHeight="false" outlineLevel="0" collapsed="false">
      <c r="B13" s="5" t="s">
        <v>15</v>
      </c>
      <c r="C13" s="5"/>
      <c r="D13" s="5"/>
      <c r="E13" s="5"/>
      <c r="F13" s="5"/>
    </row>
    <row r="14" customFormat="false" ht="15" hidden="false" customHeight="false" outlineLevel="0" collapsed="false">
      <c r="B14" s="6" t="s">
        <v>16</v>
      </c>
      <c r="C14" s="7" t="s">
        <v>17</v>
      </c>
    </row>
    <row r="15" customFormat="false" ht="15" hidden="false" customHeight="false" outlineLevel="0" collapsed="false">
      <c r="B15" s="2" t="s">
        <v>18</v>
      </c>
      <c r="C15" s="7" t="s">
        <v>19</v>
      </c>
    </row>
    <row r="16" customFormat="false" ht="15" hidden="false" customHeight="false" outlineLevel="0" collapsed="false">
      <c r="B16" s="8" t="s">
        <v>20</v>
      </c>
      <c r="C16" s="7" t="s">
        <v>21</v>
      </c>
    </row>
    <row r="17" customFormat="false" ht="15" hidden="false" customHeight="false" outlineLevel="0" collapsed="false">
      <c r="B17" s="2" t="s">
        <v>22</v>
      </c>
      <c r="C17" s="7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24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25</v>
      </c>
      <c r="C4" s="11" t="s">
        <v>26</v>
      </c>
      <c r="D4" s="11"/>
      <c r="E4" s="11"/>
      <c r="F4" s="11"/>
    </row>
    <row r="5" customFormat="false" ht="15" hidden="false" customHeight="true" outlineLevel="0" collapsed="false">
      <c r="B5" s="10" t="s">
        <v>27</v>
      </c>
      <c r="C5" s="11" t="s">
        <v>28</v>
      </c>
      <c r="D5" s="11"/>
      <c r="E5" s="11"/>
      <c r="F5" s="11"/>
    </row>
    <row r="6" customFormat="false" ht="15" hidden="false" customHeight="true" outlineLevel="0" collapsed="false">
      <c r="B6" s="10" t="s">
        <v>29</v>
      </c>
      <c r="C6" s="11" t="s">
        <v>30</v>
      </c>
      <c r="D6" s="11"/>
      <c r="E6" s="11"/>
      <c r="F6" s="11"/>
    </row>
    <row r="7" customFormat="false" ht="15" hidden="false" customHeight="true" outlineLevel="0" collapsed="false">
      <c r="B7" s="10" t="s">
        <v>31</v>
      </c>
      <c r="C7" s="11" t="s">
        <v>32</v>
      </c>
      <c r="D7" s="11"/>
      <c r="E7" s="11"/>
      <c r="F7" s="11"/>
    </row>
    <row r="8" customFormat="false" ht="15" hidden="false" customHeight="true" outlineLevel="0" collapsed="false">
      <c r="B8" s="10" t="s">
        <v>33</v>
      </c>
      <c r="C8" s="11" t="s">
        <v>34</v>
      </c>
      <c r="D8" s="11"/>
      <c r="E8" s="11"/>
      <c r="F8" s="11"/>
    </row>
    <row r="9" customFormat="false" ht="15" hidden="false" customHeight="true" outlineLevel="0" collapsed="false">
      <c r="B9" s="10" t="s">
        <v>35</v>
      </c>
      <c r="C9" s="11" t="s">
        <v>36</v>
      </c>
      <c r="D9" s="11"/>
      <c r="E9" s="11"/>
      <c r="F9" s="11"/>
    </row>
    <row r="10" customFormat="false" ht="15" hidden="false" customHeight="true" outlineLevel="0" collapsed="false">
      <c r="B10" s="10" t="s">
        <v>37</v>
      </c>
      <c r="C10" s="11" t="s">
        <v>38</v>
      </c>
      <c r="D10" s="11"/>
      <c r="E10" s="11"/>
      <c r="F10" s="11"/>
    </row>
    <row r="12" customFormat="false" ht="15" hidden="false" customHeight="false" outlineLevel="0" collapsed="false">
      <c r="B12" s="12" t="s">
        <v>39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40</v>
      </c>
      <c r="C13" s="13" t="s">
        <v>41</v>
      </c>
      <c r="D13" s="13" t="s">
        <v>42</v>
      </c>
      <c r="E13" s="13" t="s">
        <v>43</v>
      </c>
      <c r="F13" s="13" t="s">
        <v>44</v>
      </c>
    </row>
    <row r="14" customFormat="false" ht="15" hidden="false" customHeight="false" outlineLevel="0" collapsed="false">
      <c r="B14" s="0" t="n">
        <v>1</v>
      </c>
      <c r="C14" s="0" t="s">
        <v>45</v>
      </c>
      <c r="F14" s="14" t="s">
        <v>46</v>
      </c>
    </row>
    <row r="15" customFormat="false" ht="15" hidden="false" customHeight="false" outlineLevel="0" collapsed="false">
      <c r="B15" s="0" t="n">
        <v>2</v>
      </c>
      <c r="C15" s="0" t="s">
        <v>47</v>
      </c>
      <c r="F15" s="14" t="s">
        <v>46</v>
      </c>
    </row>
    <row r="16" customFormat="false" ht="15" hidden="false" customHeight="false" outlineLevel="0" collapsed="false">
      <c r="B16" s="0" t="n">
        <v>3</v>
      </c>
      <c r="C16" s="0" t="s">
        <v>48</v>
      </c>
      <c r="F16" s="14" t="s">
        <v>46</v>
      </c>
    </row>
    <row r="17" customFormat="false" ht="15" hidden="false" customHeight="false" outlineLevel="0" collapsed="false">
      <c r="B17" s="0" t="n">
        <v>4</v>
      </c>
      <c r="C17" s="0" t="s">
        <v>49</v>
      </c>
      <c r="F17" s="14" t="s">
        <v>46</v>
      </c>
    </row>
    <row r="18" customFormat="false" ht="15" hidden="false" customHeight="false" outlineLevel="0" collapsed="false">
      <c r="B18" s="0" t="n">
        <v>5</v>
      </c>
      <c r="C18" s="0" t="s">
        <v>50</v>
      </c>
      <c r="F18" s="14" t="s">
        <v>46</v>
      </c>
    </row>
    <row r="20" customFormat="false" ht="15" hidden="false" customHeight="false" outlineLevel="0" collapsed="false">
      <c r="B20" s="12" t="s">
        <v>51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40</v>
      </c>
      <c r="C21" s="13" t="s">
        <v>41</v>
      </c>
      <c r="D21" s="13" t="s">
        <v>42</v>
      </c>
      <c r="E21" s="13" t="s">
        <v>43</v>
      </c>
      <c r="F21" s="13" t="s">
        <v>44</v>
      </c>
    </row>
    <row r="22" customFormat="false" ht="15" hidden="false" customHeight="false" outlineLevel="0" collapsed="false">
      <c r="B22" s="0" t="n">
        <v>1</v>
      </c>
      <c r="C22" s="0" t="s">
        <v>52</v>
      </c>
      <c r="F22" s="14" t="s">
        <v>46</v>
      </c>
    </row>
    <row r="23" customFormat="false" ht="15" hidden="false" customHeight="false" outlineLevel="0" collapsed="false">
      <c r="B23" s="0" t="n">
        <v>2</v>
      </c>
      <c r="C23" s="0" t="s">
        <v>53</v>
      </c>
      <c r="F23" s="14" t="s">
        <v>46</v>
      </c>
    </row>
    <row r="24" customFormat="false" ht="15" hidden="false" customHeight="false" outlineLevel="0" collapsed="false">
      <c r="B24" s="0" t="n">
        <v>3</v>
      </c>
      <c r="C24" s="0" t="s">
        <v>54</v>
      </c>
      <c r="F24" s="14" t="s">
        <v>46</v>
      </c>
    </row>
    <row r="25" customFormat="false" ht="15" hidden="false" customHeight="false" outlineLevel="0" collapsed="false">
      <c r="B25" s="0" t="n">
        <v>4</v>
      </c>
      <c r="C25" s="0" t="s">
        <v>55</v>
      </c>
      <c r="F25" s="14" t="s">
        <v>46</v>
      </c>
    </row>
    <row r="26" customFormat="false" ht="15" hidden="false" customHeight="false" outlineLevel="0" collapsed="false">
      <c r="B26" s="0" t="n">
        <v>5</v>
      </c>
      <c r="C26" s="0" t="s">
        <v>56</v>
      </c>
      <c r="F26" s="14" t="s">
        <v>46</v>
      </c>
    </row>
    <row r="28" customFormat="false" ht="15" hidden="false" customHeight="false" outlineLevel="0" collapsed="false">
      <c r="B28" s="12" t="s">
        <v>57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40</v>
      </c>
      <c r="C29" s="13" t="s">
        <v>41</v>
      </c>
      <c r="D29" s="13" t="s">
        <v>42</v>
      </c>
      <c r="E29" s="13" t="s">
        <v>43</v>
      </c>
      <c r="F29" s="13" t="s">
        <v>44</v>
      </c>
    </row>
    <row r="30" customFormat="false" ht="15" hidden="false" customHeight="false" outlineLevel="0" collapsed="false">
      <c r="B30" s="0" t="n">
        <v>1</v>
      </c>
      <c r="C30" s="0" t="s">
        <v>58</v>
      </c>
      <c r="F30" s="14" t="s">
        <v>46</v>
      </c>
    </row>
    <row r="31" customFormat="false" ht="15" hidden="false" customHeight="false" outlineLevel="0" collapsed="false">
      <c r="B31" s="0" t="n">
        <v>2</v>
      </c>
      <c r="C31" s="0" t="s">
        <v>59</v>
      </c>
      <c r="F31" s="14" t="s">
        <v>46</v>
      </c>
    </row>
    <row r="32" customFormat="false" ht="15" hidden="false" customHeight="false" outlineLevel="0" collapsed="false">
      <c r="B32" s="0" t="n">
        <v>3</v>
      </c>
      <c r="C32" s="0" t="s">
        <v>60</v>
      </c>
      <c r="F32" s="14" t="s">
        <v>46</v>
      </c>
    </row>
    <row r="33" customFormat="false" ht="15" hidden="false" customHeight="false" outlineLevel="0" collapsed="false">
      <c r="B33" s="0" t="n">
        <v>4</v>
      </c>
      <c r="C33" s="0" t="s">
        <v>61</v>
      </c>
      <c r="F33" s="14" t="s">
        <v>46</v>
      </c>
    </row>
    <row r="34" customFormat="false" ht="15" hidden="false" customHeight="false" outlineLevel="0" collapsed="false">
      <c r="B34" s="0" t="n">
        <v>5</v>
      </c>
      <c r="C34" s="0" t="s">
        <v>62</v>
      </c>
      <c r="F34" s="14" t="s">
        <v>46</v>
      </c>
    </row>
    <row r="36" customFormat="false" ht="15" hidden="false" customHeight="false" outlineLevel="0" collapsed="false">
      <c r="B36" s="12" t="s">
        <v>63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40</v>
      </c>
      <c r="C37" s="13" t="s">
        <v>41</v>
      </c>
      <c r="D37" s="13" t="s">
        <v>42</v>
      </c>
      <c r="E37" s="13" t="s">
        <v>43</v>
      </c>
      <c r="F37" s="13" t="s">
        <v>44</v>
      </c>
    </row>
    <row r="38" customFormat="false" ht="15" hidden="false" customHeight="false" outlineLevel="0" collapsed="false">
      <c r="B38" s="0" t="n">
        <v>1</v>
      </c>
      <c r="C38" s="0" t="s">
        <v>64</v>
      </c>
      <c r="F38" s="14" t="s">
        <v>46</v>
      </c>
    </row>
    <row r="39" customFormat="false" ht="15" hidden="false" customHeight="false" outlineLevel="0" collapsed="false">
      <c r="B39" s="0" t="n">
        <v>2</v>
      </c>
      <c r="C39" s="0" t="s">
        <v>65</v>
      </c>
      <c r="F39" s="14" t="s">
        <v>46</v>
      </c>
    </row>
    <row r="40" customFormat="false" ht="15" hidden="false" customHeight="false" outlineLevel="0" collapsed="false">
      <c r="B40" s="0" t="n">
        <v>3</v>
      </c>
      <c r="C40" s="0" t="s">
        <v>66</v>
      </c>
      <c r="F40" s="14" t="s">
        <v>46</v>
      </c>
    </row>
    <row r="41" customFormat="false" ht="15" hidden="false" customHeight="false" outlineLevel="0" collapsed="false">
      <c r="B41" s="0" t="n">
        <v>4</v>
      </c>
      <c r="C41" s="0" t="s">
        <v>67</v>
      </c>
      <c r="F41" s="14" t="s">
        <v>46</v>
      </c>
    </row>
    <row r="42" customFormat="false" ht="15" hidden="false" customHeight="false" outlineLevel="0" collapsed="false">
      <c r="B42" s="0" t="n">
        <v>5</v>
      </c>
      <c r="C42" s="0" t="s">
        <v>68</v>
      </c>
      <c r="F42" s="14" t="s">
        <v>46</v>
      </c>
    </row>
    <row r="44" customFormat="false" ht="15" hidden="false" customHeight="false" outlineLevel="0" collapsed="false">
      <c r="B44" s="12" t="s">
        <v>69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40</v>
      </c>
      <c r="C45" s="13" t="s">
        <v>41</v>
      </c>
      <c r="D45" s="13" t="s">
        <v>42</v>
      </c>
      <c r="E45" s="13" t="s">
        <v>43</v>
      </c>
      <c r="F45" s="13" t="s">
        <v>44</v>
      </c>
    </row>
    <row r="46" customFormat="false" ht="15" hidden="false" customHeight="false" outlineLevel="0" collapsed="false">
      <c r="B46" s="0" t="n">
        <v>1</v>
      </c>
      <c r="C46" s="0" t="s">
        <v>70</v>
      </c>
      <c r="F46" s="14" t="s">
        <v>46</v>
      </c>
    </row>
    <row r="47" customFormat="false" ht="15" hidden="false" customHeight="false" outlineLevel="0" collapsed="false">
      <c r="B47" s="0" t="n">
        <v>2</v>
      </c>
      <c r="C47" s="0" t="s">
        <v>71</v>
      </c>
      <c r="F47" s="14" t="s">
        <v>46</v>
      </c>
    </row>
    <row r="48" customFormat="false" ht="15" hidden="false" customHeight="false" outlineLevel="0" collapsed="false">
      <c r="B48" s="0" t="n">
        <v>3</v>
      </c>
      <c r="C48" s="0" t="s">
        <v>72</v>
      </c>
      <c r="F48" s="14" t="s">
        <v>46</v>
      </c>
    </row>
    <row r="49" customFormat="false" ht="15" hidden="false" customHeight="false" outlineLevel="0" collapsed="false">
      <c r="B49" s="0" t="n">
        <v>4</v>
      </c>
      <c r="C49" s="0" t="s">
        <v>73</v>
      </c>
      <c r="F49" s="14" t="s">
        <v>46</v>
      </c>
    </row>
    <row r="50" customFormat="false" ht="15" hidden="false" customHeight="false" outlineLevel="0" collapsed="false">
      <c r="B50" s="0" t="n">
        <v>5</v>
      </c>
      <c r="C50" s="0" t="s">
        <v>74</v>
      </c>
      <c r="F50" s="14" t="s">
        <v>46</v>
      </c>
    </row>
    <row r="52" customFormat="false" ht="15" hidden="false" customHeight="false" outlineLevel="0" collapsed="false">
      <c r="B52" s="12" t="s">
        <v>75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40</v>
      </c>
      <c r="C53" s="13" t="s">
        <v>41</v>
      </c>
      <c r="D53" s="13" t="s">
        <v>42</v>
      </c>
      <c r="E53" s="13" t="s">
        <v>43</v>
      </c>
      <c r="F53" s="13" t="s">
        <v>44</v>
      </c>
    </row>
    <row r="54" customFormat="false" ht="15" hidden="false" customHeight="false" outlineLevel="0" collapsed="false">
      <c r="B54" s="0" t="n">
        <v>1</v>
      </c>
      <c r="C54" s="0" t="s">
        <v>76</v>
      </c>
      <c r="F54" s="14" t="s">
        <v>46</v>
      </c>
    </row>
    <row r="55" customFormat="false" ht="15" hidden="false" customHeight="false" outlineLevel="0" collapsed="false">
      <c r="B55" s="0" t="n">
        <v>2</v>
      </c>
      <c r="C55" s="0" t="s">
        <v>77</v>
      </c>
      <c r="F55" s="14" t="s">
        <v>46</v>
      </c>
    </row>
    <row r="56" customFormat="false" ht="15" hidden="false" customHeight="false" outlineLevel="0" collapsed="false">
      <c r="B56" s="0" t="n">
        <v>3</v>
      </c>
      <c r="C56" s="0" t="s">
        <v>78</v>
      </c>
      <c r="F56" s="14" t="s">
        <v>46</v>
      </c>
    </row>
    <row r="57" customFormat="false" ht="15" hidden="false" customHeight="false" outlineLevel="0" collapsed="false">
      <c r="B57" s="0" t="n">
        <v>4</v>
      </c>
      <c r="C57" s="0" t="s">
        <v>79</v>
      </c>
      <c r="F57" s="14" t="s">
        <v>46</v>
      </c>
    </row>
    <row r="58" customFormat="false" ht="15" hidden="false" customHeight="false" outlineLevel="0" collapsed="false">
      <c r="B58" s="0" t="n">
        <v>5</v>
      </c>
      <c r="C58" s="0" t="s">
        <v>80</v>
      </c>
      <c r="F58" s="14" t="s">
        <v>46</v>
      </c>
    </row>
    <row r="60" customFormat="false" ht="15" hidden="false" customHeight="false" outlineLevel="0" collapsed="false">
      <c r="B60" s="12" t="s">
        <v>81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82</v>
      </c>
      <c r="C61" s="13" t="s">
        <v>83</v>
      </c>
      <c r="D61" s="13" t="s">
        <v>84</v>
      </c>
      <c r="E61" s="13" t="s">
        <v>85</v>
      </c>
      <c r="F61" s="13" t="s">
        <v>86</v>
      </c>
    </row>
    <row r="62" customFormat="false" ht="15" hidden="false" customHeight="false" outlineLevel="0" collapsed="false">
      <c r="B62" s="0" t="s">
        <v>87</v>
      </c>
      <c r="C62" s="0" t="s">
        <v>88</v>
      </c>
      <c r="D62" s="0" t="s">
        <v>89</v>
      </c>
      <c r="E62" s="0" t="s">
        <v>90</v>
      </c>
    </row>
    <row r="63" customFormat="false" ht="15" hidden="false" customHeight="false" outlineLevel="0" collapsed="false">
      <c r="B63" s="0" t="s">
        <v>91</v>
      </c>
      <c r="C63" s="0" t="s">
        <v>92</v>
      </c>
      <c r="D63" s="0" t="s">
        <v>93</v>
      </c>
      <c r="E63" s="0" t="s">
        <v>90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94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95</v>
      </c>
      <c r="C4" s="13" t="s">
        <v>96</v>
      </c>
      <c r="D4" s="13" t="s">
        <v>97</v>
      </c>
      <c r="E4" s="13" t="s">
        <v>98</v>
      </c>
      <c r="F4" s="13" t="s">
        <v>99</v>
      </c>
      <c r="G4" s="13" t="s">
        <v>100</v>
      </c>
      <c r="H4" s="13" t="s">
        <v>44</v>
      </c>
      <c r="I4" s="13" t="s">
        <v>101</v>
      </c>
    </row>
    <row r="5" customFormat="false" ht="15" hidden="false" customHeight="false" outlineLevel="0" collapsed="false">
      <c r="D5" s="0" t="s">
        <v>70</v>
      </c>
      <c r="H5" s="14" t="s">
        <v>46</v>
      </c>
    </row>
    <row r="6" customFormat="false" ht="15" hidden="false" customHeight="false" outlineLevel="0" collapsed="false">
      <c r="D6" s="0" t="s">
        <v>71</v>
      </c>
      <c r="H6" s="14" t="s">
        <v>46</v>
      </c>
    </row>
    <row r="7" customFormat="false" ht="15" hidden="false" customHeight="false" outlineLevel="0" collapsed="false">
      <c r="D7" s="0" t="s">
        <v>72</v>
      </c>
      <c r="H7" s="14" t="s">
        <v>46</v>
      </c>
    </row>
    <row r="8" customFormat="false" ht="15" hidden="false" customHeight="false" outlineLevel="0" collapsed="false">
      <c r="D8" s="0" t="s">
        <v>73</v>
      </c>
      <c r="H8" s="14" t="s">
        <v>46</v>
      </c>
    </row>
    <row r="9" customFormat="false" ht="15" hidden="false" customHeight="false" outlineLevel="0" collapsed="false">
      <c r="D9" s="0" t="s">
        <v>74</v>
      </c>
      <c r="H9" s="14" t="s">
        <v>46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102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103</v>
      </c>
      <c r="C4" s="13" t="s">
        <v>104</v>
      </c>
      <c r="D4" s="13" t="s">
        <v>105</v>
      </c>
      <c r="E4" s="13" t="s">
        <v>106</v>
      </c>
      <c r="F4" s="13" t="s">
        <v>107</v>
      </c>
      <c r="G4" s="13" t="s">
        <v>42</v>
      </c>
      <c r="H4" s="13" t="s">
        <v>108</v>
      </c>
      <c r="I4" s="13" t="s">
        <v>109</v>
      </c>
      <c r="J4" s="13" t="s">
        <v>44</v>
      </c>
    </row>
    <row r="5" customFormat="false" ht="15" hidden="false" customHeight="false" outlineLevel="0" collapsed="false">
      <c r="B5" s="0" t="s">
        <v>110</v>
      </c>
      <c r="C5" s="0" t="s">
        <v>111</v>
      </c>
      <c r="D5" s="0" t="s">
        <v>112</v>
      </c>
      <c r="J5" s="14" t="s">
        <v>113</v>
      </c>
    </row>
    <row r="6" customFormat="false" ht="15" hidden="false" customHeight="false" outlineLevel="0" collapsed="false">
      <c r="B6" s="0" t="s">
        <v>114</v>
      </c>
      <c r="C6" s="0" t="s">
        <v>111</v>
      </c>
      <c r="D6" s="0" t="s">
        <v>115</v>
      </c>
      <c r="J6" s="14" t="s">
        <v>113</v>
      </c>
    </row>
    <row r="7" customFormat="false" ht="15" hidden="false" customHeight="false" outlineLevel="0" collapsed="false">
      <c r="B7" s="0" t="s">
        <v>116</v>
      </c>
      <c r="C7" s="0" t="s">
        <v>117</v>
      </c>
      <c r="D7" s="0" t="s">
        <v>118</v>
      </c>
      <c r="J7" s="14" t="s">
        <v>113</v>
      </c>
    </row>
    <row r="8" customFormat="false" ht="15" hidden="false" customHeight="false" outlineLevel="0" collapsed="false">
      <c r="B8" s="0" t="s">
        <v>119</v>
      </c>
      <c r="C8" s="0" t="s">
        <v>120</v>
      </c>
      <c r="D8" s="0" t="s">
        <v>121</v>
      </c>
      <c r="J8" s="14" t="s">
        <v>113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5" min="3" style="0" width="15"/>
    <col collapsed="false" customWidth="true" hidden="false" outlineLevel="0" max="6" min="6" style="0" width="30"/>
  </cols>
  <sheetData>
    <row r="2" customFormat="false" ht="27.75" hidden="false" customHeight="true" outlineLevel="0" collapsed="false">
      <c r="B2" s="1" t="s">
        <v>122</v>
      </c>
      <c r="C2" s="1"/>
      <c r="D2" s="1"/>
      <c r="E2" s="1"/>
      <c r="F2" s="1"/>
    </row>
    <row r="4" customFormat="false" ht="15" hidden="false" customHeight="false" outlineLevel="0" collapsed="false">
      <c r="B4" s="15" t="s">
        <v>123</v>
      </c>
      <c r="C4" s="15" t="s">
        <v>12</v>
      </c>
      <c r="D4" s="15" t="s">
        <v>124</v>
      </c>
      <c r="E4" s="15" t="s">
        <v>125</v>
      </c>
      <c r="F4" s="15" t="s">
        <v>126</v>
      </c>
    </row>
    <row r="5" customFormat="false" ht="15" hidden="false" customHeight="false" outlineLevel="0" collapsed="false">
      <c r="B5" s="0" t="s">
        <v>127</v>
      </c>
      <c r="C5" s="16" t="n">
        <v>1000000</v>
      </c>
      <c r="D5" s="16" t="n">
        <v>950000</v>
      </c>
      <c r="E5" s="17" t="n">
        <f aca="false">IF(Cover!$C$9="Downside",D5,C5)</f>
        <v>1000000</v>
      </c>
    </row>
    <row r="6" customFormat="false" ht="15" hidden="false" customHeight="false" outlineLevel="0" collapsed="false">
      <c r="B6" s="0" t="s">
        <v>128</v>
      </c>
      <c r="C6" s="18" t="n">
        <v>1200</v>
      </c>
      <c r="D6" s="18" t="n">
        <v>1080</v>
      </c>
      <c r="E6" s="19" t="n">
        <f aca="false">IF(Cover!$C$9="Downside",D6,C6)</f>
        <v>1200</v>
      </c>
    </row>
    <row r="7" customFormat="false" ht="15" hidden="false" customHeight="false" outlineLevel="0" collapsed="false">
      <c r="B7" s="0" t="s">
        <v>129</v>
      </c>
      <c r="C7" s="18" t="n">
        <v>1050</v>
      </c>
      <c r="D7" s="18" t="n">
        <v>1090</v>
      </c>
      <c r="E7" s="19" t="n">
        <f aca="false">IF(Cover!$C$9="Downside",D7,C7)</f>
        <v>1050</v>
      </c>
    </row>
    <row r="8" customFormat="false" ht="15" hidden="false" customHeight="false" outlineLevel="0" collapsed="false">
      <c r="B8" s="0" t="s">
        <v>130</v>
      </c>
      <c r="C8" s="18" t="n">
        <v>180</v>
      </c>
      <c r="D8" s="18" t="n">
        <v>220</v>
      </c>
      <c r="E8" s="19" t="n">
        <f aca="false">IF(Cover!$C$9="Downside",D8,C8)</f>
        <v>180</v>
      </c>
    </row>
    <row r="9" customFormat="false" ht="15" hidden="false" customHeight="false" outlineLevel="0" collapsed="false">
      <c r="B9" s="0" t="s">
        <v>131</v>
      </c>
      <c r="C9" s="18" t="n">
        <v>300</v>
      </c>
      <c r="D9" s="18" t="n">
        <v>220</v>
      </c>
      <c r="E9" s="19" t="n">
        <f aca="false">IF(Cover!$C$9="Downside",D9,C9)</f>
        <v>300</v>
      </c>
    </row>
    <row r="10" customFormat="false" ht="15" hidden="false" customHeight="false" outlineLevel="0" collapsed="false">
      <c r="B10" s="0" t="s">
        <v>132</v>
      </c>
      <c r="C10" s="18" t="n">
        <v>2500</v>
      </c>
      <c r="D10" s="18" t="n">
        <v>2500</v>
      </c>
      <c r="E10" s="19" t="n">
        <f aca="false">IF(Cover!$C$9="Downside",D10,C10)</f>
        <v>2500</v>
      </c>
    </row>
    <row r="11" customFormat="false" ht="15" hidden="false" customHeight="false" outlineLevel="0" collapsed="false">
      <c r="B11" s="0" t="s">
        <v>133</v>
      </c>
      <c r="C11" s="18" t="n">
        <v>125</v>
      </c>
      <c r="D11" s="18" t="n">
        <v>125</v>
      </c>
      <c r="E11" s="19" t="n">
        <f aca="false">IF(Cover!$C$9="Downside",D11,C11)</f>
        <v>125</v>
      </c>
    </row>
    <row r="12" customFormat="false" ht="15" hidden="false" customHeight="false" outlineLevel="0" collapsed="false">
      <c r="B12" s="0" t="s">
        <v>134</v>
      </c>
      <c r="C12" s="18" t="n">
        <v>420</v>
      </c>
      <c r="D12" s="18" t="n">
        <v>360</v>
      </c>
      <c r="E12" s="19" t="n">
        <f aca="false">IF(Cover!$C$9="Downside",D12,C12)</f>
        <v>420</v>
      </c>
    </row>
    <row r="13" customFormat="false" ht="15" hidden="false" customHeight="false" outlineLevel="0" collapsed="false">
      <c r="B13" s="0" t="s">
        <v>135</v>
      </c>
      <c r="C13" s="18" t="n">
        <v>150</v>
      </c>
      <c r="D13" s="18" t="n">
        <v>120</v>
      </c>
      <c r="E13" s="19" t="n">
        <f aca="false">IF(Cover!$C$9="Downside",D13,C13)</f>
        <v>150</v>
      </c>
    </row>
    <row r="14" customFormat="false" ht="15" hidden="false" customHeight="false" outlineLevel="0" collapsed="false">
      <c r="B14" s="0" t="s">
        <v>136</v>
      </c>
      <c r="C14" s="20" t="n">
        <v>0.03</v>
      </c>
      <c r="D14" s="20" t="n">
        <v>-0.02</v>
      </c>
      <c r="E14" s="21" t="n">
        <f aca="false">IF(Cover!$C$9="Downside",D14,C14)</f>
        <v>0.03</v>
      </c>
    </row>
    <row r="15" customFormat="false" ht="15" hidden="false" customHeight="false" outlineLevel="0" collapsed="false">
      <c r="B15" s="0" t="s">
        <v>137</v>
      </c>
      <c r="C15" s="20" t="n">
        <v>0.035</v>
      </c>
      <c r="D15" s="20" t="n">
        <v>0.05</v>
      </c>
      <c r="E15" s="21" t="n">
        <f aca="false">IF(Cover!$C$9="Downside",D15,C15)</f>
        <v>0.035</v>
      </c>
    </row>
    <row r="16" customFormat="false" ht="15" hidden="false" customHeight="false" outlineLevel="0" collapsed="false">
      <c r="B16" s="0" t="s">
        <v>138</v>
      </c>
      <c r="C16" s="20" t="n">
        <v>0.045</v>
      </c>
      <c r="D16" s="20" t="n">
        <v>0.06</v>
      </c>
      <c r="E16" s="21" t="n">
        <f aca="false">IF(Cover!$C$9="Downside",D16,C16)</f>
        <v>0.045</v>
      </c>
    </row>
    <row r="17" customFormat="false" ht="15" hidden="false" customHeight="false" outlineLevel="0" collapsed="false">
      <c r="B17" s="0" t="s">
        <v>139</v>
      </c>
      <c r="C17" s="22" t="n">
        <v>2.5</v>
      </c>
      <c r="D17" s="22" t="n">
        <v>2.5</v>
      </c>
      <c r="E17" s="23" t="n">
        <f aca="false">IF(Cover!$C$9="Downside",D17,C17)</f>
        <v>2.5</v>
      </c>
    </row>
    <row r="18" customFormat="false" ht="15" hidden="false" customHeight="false" outlineLevel="0" collapsed="false">
      <c r="B18" s="0" t="s">
        <v>140</v>
      </c>
      <c r="C18" s="22" t="n">
        <v>1.5</v>
      </c>
      <c r="D18" s="22" t="n">
        <v>1.5</v>
      </c>
      <c r="E18" s="23" t="n">
        <f aca="false">IF(Cover!$C$9="Downside",D18,C18)</f>
        <v>1.5</v>
      </c>
    </row>
    <row r="19" customFormat="false" ht="15" hidden="false" customHeight="false" outlineLevel="0" collapsed="false">
      <c r="B19" s="0" t="s">
        <v>141</v>
      </c>
      <c r="C19" s="24" t="n">
        <v>90</v>
      </c>
      <c r="D19" s="24" t="n">
        <v>90</v>
      </c>
      <c r="E19" s="25" t="n">
        <f aca="false">IF(Cover!$C$9="Downside",D19,C19)</f>
        <v>90</v>
      </c>
    </row>
    <row r="20" customFormat="false" ht="15" hidden="false" customHeight="false" outlineLevel="0" collapsed="false">
      <c r="B20" s="0" t="s">
        <v>142</v>
      </c>
      <c r="C20" s="18" t="n">
        <v>90</v>
      </c>
      <c r="D20" s="18" t="n">
        <v>110</v>
      </c>
      <c r="E20" s="19" t="n">
        <f aca="false">IF(Cover!$C$9="Downside",D20,C20)</f>
        <v>90</v>
      </c>
    </row>
    <row r="21" customFormat="false" ht="15" hidden="false" customHeight="false" outlineLevel="0" collapsed="false">
      <c r="B21" s="0" t="s">
        <v>143</v>
      </c>
      <c r="C21" s="20" t="n">
        <v>0.03</v>
      </c>
      <c r="D21" s="20" t="n">
        <v>0</v>
      </c>
      <c r="E21" s="21" t="n">
        <f aca="false">IF(Cover!$C$9="Downside",D21,C21)</f>
        <v>0.03</v>
      </c>
    </row>
    <row r="22" customFormat="false" ht="15" hidden="false" customHeight="false" outlineLevel="0" collapsed="false">
      <c r="B22" s="0" t="s">
        <v>144</v>
      </c>
      <c r="C22" s="20" t="n">
        <v>0.01</v>
      </c>
      <c r="D22" s="20" t="n">
        <v>-0.03</v>
      </c>
      <c r="E22" s="21" t="n">
        <f aca="false">IF(Cover!$C$9="Downside",D22,C22)</f>
        <v>0.01</v>
      </c>
    </row>
    <row r="23" customFormat="false" ht="15" hidden="false" customHeight="false" outlineLevel="0" collapsed="false">
      <c r="B23" s="0" t="s">
        <v>145</v>
      </c>
      <c r="C23" s="18" t="n">
        <v>50</v>
      </c>
      <c r="D23" s="18" t="n">
        <v>40</v>
      </c>
      <c r="E23" s="19" t="n">
        <f aca="false">IF(Cover!$C$9="Downside",D23,C23)</f>
        <v>50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48"/>
  </cols>
  <sheetData>
    <row r="2" customFormat="false" ht="27.75" hidden="false" customHeight="true" outlineLevel="0" collapsed="false">
      <c r="B2" s="1" t="s">
        <v>146</v>
      </c>
      <c r="C2" s="1"/>
      <c r="D2" s="1"/>
      <c r="E2" s="1"/>
      <c r="F2" s="1"/>
    </row>
    <row r="4" customFormat="false" ht="15" hidden="false" customHeight="false" outlineLevel="0" collapsed="false">
      <c r="B4" s="15" t="s">
        <v>147</v>
      </c>
      <c r="C4" s="15" t="s">
        <v>125</v>
      </c>
      <c r="D4" s="15" t="s">
        <v>124</v>
      </c>
      <c r="E4" s="15" t="s">
        <v>148</v>
      </c>
      <c r="F4" s="15" t="s">
        <v>149</v>
      </c>
    </row>
    <row r="5" customFormat="false" ht="15" hidden="false" customHeight="false" outlineLevel="0" collapsed="false">
      <c r="B5" s="0" t="s">
        <v>150</v>
      </c>
      <c r="C5" s="26" t="n">
        <f aca="false">IFERROR(Assumptions!E10/Assumptions!E6,0)</f>
        <v>2.08333333333333</v>
      </c>
      <c r="D5" s="26" t="n">
        <f aca="false">IFERROR(Assumptions!D10/Assumptions!D6,0)</f>
        <v>2.31481481481482</v>
      </c>
      <c r="E5" s="14" t="s">
        <v>151</v>
      </c>
      <c r="F5" s="14" t="s">
        <v>152</v>
      </c>
    </row>
    <row r="6" customFormat="false" ht="15" hidden="false" customHeight="false" outlineLevel="0" collapsed="false">
      <c r="B6" s="0" t="s">
        <v>153</v>
      </c>
      <c r="C6" s="27" t="n">
        <f aca="false">Assumptions!E16</f>
        <v>0.045</v>
      </c>
      <c r="D6" s="27" t="n">
        <f aca="false">Assumptions!D16</f>
        <v>0.06</v>
      </c>
      <c r="E6" s="14" t="s">
        <v>154</v>
      </c>
      <c r="F6" s="14" t="s">
        <v>155</v>
      </c>
    </row>
    <row r="7" customFormat="false" ht="15" hidden="false" customHeight="false" outlineLevel="0" collapsed="false">
      <c r="B7" s="0" t="s">
        <v>156</v>
      </c>
      <c r="C7" s="27" t="n">
        <f aca="false">Assumptions!E21</f>
        <v>0.03</v>
      </c>
      <c r="D7" s="27" t="n">
        <f aca="false">Assumptions!D21</f>
        <v>0</v>
      </c>
      <c r="E7" s="14" t="s">
        <v>154</v>
      </c>
      <c r="F7" s="14" t="s">
        <v>157</v>
      </c>
    </row>
    <row r="8" customFormat="false" ht="15" hidden="false" customHeight="false" outlineLevel="0" collapsed="false">
      <c r="B8" s="0" t="s">
        <v>158</v>
      </c>
      <c r="C8" s="27" t="n">
        <f aca="false">C6-C7</f>
        <v>0.015</v>
      </c>
      <c r="D8" s="27" t="n">
        <f aca="false">D6-D7</f>
        <v>0.06</v>
      </c>
      <c r="E8" s="14" t="s">
        <v>154</v>
      </c>
      <c r="F8" s="14" t="s">
        <v>159</v>
      </c>
    </row>
    <row r="9" customFormat="false" ht="15" hidden="false" customHeight="false" outlineLevel="0" collapsed="false">
      <c r="B9" s="0" t="s">
        <v>144</v>
      </c>
      <c r="C9" s="27" t="n">
        <f aca="false">Assumptions!E22</f>
        <v>0.01</v>
      </c>
      <c r="D9" s="27" t="n">
        <f aca="false">Assumptions!D22</f>
        <v>-0.03</v>
      </c>
      <c r="E9" s="14" t="s">
        <v>154</v>
      </c>
      <c r="F9" s="14" t="s">
        <v>160</v>
      </c>
    </row>
    <row r="10" customFormat="false" ht="15" hidden="false" customHeight="false" outlineLevel="0" collapsed="false">
      <c r="B10" s="0" t="s">
        <v>161</v>
      </c>
      <c r="C10" s="27" t="n">
        <f aca="false">IFERROR((C6-C7)/(1+C7)*C5,0)</f>
        <v>0.0303398058252427</v>
      </c>
      <c r="D10" s="27" t="n">
        <f aca="false">IFERROR((D6-D7)/(1+D7)*D5,0)</f>
        <v>0.138888888888889</v>
      </c>
      <c r="E10" s="14" t="s">
        <v>154</v>
      </c>
      <c r="F10" s="14" t="s">
        <v>162</v>
      </c>
    </row>
    <row r="11" customFormat="false" ht="15" hidden="false" customHeight="false" outlineLevel="0" collapsed="false">
      <c r="B11" s="0" t="s">
        <v>163</v>
      </c>
      <c r="C11" s="27" t="n">
        <f aca="false">C9-C10</f>
        <v>-0.0203398058252427</v>
      </c>
      <c r="D11" s="27" t="n">
        <f aca="false">D9-D10</f>
        <v>-0.168888888888889</v>
      </c>
      <c r="E11" s="14" t="s">
        <v>154</v>
      </c>
      <c r="F11" s="14" t="s">
        <v>164</v>
      </c>
    </row>
    <row r="12" customFormat="false" ht="15" hidden="false" customHeight="false" outlineLevel="0" collapsed="false">
      <c r="B12" s="0" t="s">
        <v>165</v>
      </c>
      <c r="C12" s="26" t="n">
        <f aca="false">IFERROR((1+C6)/(1+C7)*C5-C9,0)</f>
        <v>2.10367313915858</v>
      </c>
      <c r="D12" s="26" t="n">
        <f aca="false">IFERROR((1+D6)/(1+D7)*D5-D9,0)</f>
        <v>2.4837037037037</v>
      </c>
      <c r="E12" s="14" t="s">
        <v>151</v>
      </c>
      <c r="F12" s="14" t="s">
        <v>166</v>
      </c>
    </row>
    <row r="13" customFormat="false" ht="15" hidden="false" customHeight="false" outlineLevel="0" collapsed="false">
      <c r="B13" s="0" t="s">
        <v>167</v>
      </c>
      <c r="C13" s="0" t="str">
        <f aca="false">IF(C12&lt;=C5,"STABILIZING / FALLING","RISING")</f>
        <v>RISING</v>
      </c>
      <c r="D13" s="0" t="str">
        <f aca="false">IF(D12&lt;=D5,"STABILIZING / FALLING","RISING")</f>
        <v>RISING</v>
      </c>
      <c r="E13" s="14" t="s">
        <v>168</v>
      </c>
      <c r="F13" s="14" t="s">
        <v>169</v>
      </c>
    </row>
  </sheetData>
  <mergeCells count="1">
    <mergeCell ref="B2:F2"/>
  </mergeCells>
  <conditionalFormatting sqref="C13:D13">
    <cfRule type="expression" priority="2" aboveAverage="0" equalAverage="0" bottom="0" percent="0" rank="0" text="" dxfId="0">
      <formula>C13="STABILIZING / FALLING"</formula>
    </cfRule>
    <cfRule type="expression" priority="3" aboveAverage="0" equalAverage="0" bottom="0" percent="0" rank="0" text="" dxfId="1">
      <formula>C13="RISING"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8" min="3" style="0" width="13"/>
  </cols>
  <sheetData>
    <row r="2" customFormat="false" ht="27.75" hidden="false" customHeight="true" outlineLevel="0" collapsed="false">
      <c r="B2" s="1" t="s">
        <v>170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171</v>
      </c>
      <c r="C4" s="15" t="s">
        <v>172</v>
      </c>
      <c r="D4" s="15" t="s">
        <v>173</v>
      </c>
      <c r="E4" s="15" t="s">
        <v>174</v>
      </c>
      <c r="F4" s="15" t="s">
        <v>175</v>
      </c>
      <c r="G4" s="15" t="s">
        <v>176</v>
      </c>
      <c r="H4" s="15" t="s">
        <v>177</v>
      </c>
    </row>
    <row r="5" customFormat="false" ht="15" hidden="false" customHeight="false" outlineLevel="0" collapsed="false">
      <c r="B5" s="0" t="s">
        <v>128</v>
      </c>
      <c r="C5" s="19" t="n">
        <f aca="false">Assumptions!E6</f>
        <v>1200</v>
      </c>
      <c r="D5" s="28" t="n">
        <f aca="false">C5*(1+Assumptions!$E$14)</f>
        <v>1236</v>
      </c>
      <c r="E5" s="28" t="n">
        <f aca="false">D5*(1+Assumptions!$E$14)</f>
        <v>1273.08</v>
      </c>
      <c r="F5" s="28" t="n">
        <f aca="false">E5*(1+Assumptions!$E$14)</f>
        <v>1311.2724</v>
      </c>
      <c r="G5" s="28" t="n">
        <f aca="false">F5*(1+Assumptions!$E$14)</f>
        <v>1350.610572</v>
      </c>
      <c r="H5" s="28" t="n">
        <f aca="false">G5*(1+Assumptions!$E$14)</f>
        <v>1391.12888916</v>
      </c>
    </row>
    <row r="6" customFormat="false" ht="15" hidden="false" customHeight="false" outlineLevel="0" collapsed="false">
      <c r="B6" s="0" t="s">
        <v>136</v>
      </c>
      <c r="D6" s="27" t="n">
        <f aca="false">IFERROR(D5/C5-1,0)</f>
        <v>0.03</v>
      </c>
      <c r="E6" s="27" t="n">
        <f aca="false">IFERROR(E5/D5-1,0)</f>
        <v>0.03</v>
      </c>
      <c r="F6" s="27" t="n">
        <f aca="false">IFERROR(F5/E5-1,0)</f>
        <v>0.03</v>
      </c>
      <c r="G6" s="27" t="n">
        <f aca="false">IFERROR(G5/F5-1,0)</f>
        <v>0.03</v>
      </c>
      <c r="H6" s="27" t="n">
        <f aca="false">IFERROR(H5/G5-1,0)</f>
        <v>0.03</v>
      </c>
    </row>
    <row r="7" customFormat="false" ht="15" hidden="false" customHeight="false" outlineLevel="0" collapsed="false">
      <c r="B7" s="0" t="s">
        <v>129</v>
      </c>
      <c r="C7" s="19" t="n">
        <f aca="false">Assumptions!E7</f>
        <v>1050</v>
      </c>
      <c r="D7" s="28" t="n">
        <f aca="false">C7*(1+Assumptions!$E$15)</f>
        <v>1086.75</v>
      </c>
      <c r="E7" s="28" t="n">
        <f aca="false">D7*(1+Assumptions!$E$15)</f>
        <v>1124.78625</v>
      </c>
      <c r="F7" s="28" t="n">
        <f aca="false">E7*(1+Assumptions!$E$15)</f>
        <v>1164.15376875</v>
      </c>
      <c r="G7" s="28" t="n">
        <f aca="false">F7*(1+Assumptions!$E$15)</f>
        <v>1204.89915065625</v>
      </c>
      <c r="H7" s="28" t="n">
        <f aca="false">G7*(1+Assumptions!$E$15)</f>
        <v>1247.07062092922</v>
      </c>
    </row>
    <row r="8" customFormat="false" ht="15" hidden="false" customHeight="false" outlineLevel="0" collapsed="false">
      <c r="B8" s="0" t="s">
        <v>137</v>
      </c>
      <c r="D8" s="27" t="n">
        <f aca="false">IFERROR(D7/C7-1,0)</f>
        <v>0.0349999999999999</v>
      </c>
      <c r="E8" s="27" t="n">
        <f aca="false">IFERROR(E7/D7-1,0)</f>
        <v>0.0349999999999999</v>
      </c>
      <c r="F8" s="27" t="n">
        <f aca="false">IFERROR(F7/E7-1,0)</f>
        <v>0.0349999999999999</v>
      </c>
      <c r="G8" s="27" t="n">
        <f aca="false">IFERROR(G7/F7-1,0)</f>
        <v>0.0349999999999999</v>
      </c>
      <c r="H8" s="27" t="n">
        <f aca="false">IFERROR(H7/G7-1,0)</f>
        <v>0.0349999999999999</v>
      </c>
    </row>
    <row r="9" customFormat="false" ht="15" hidden="false" customHeight="false" outlineLevel="0" collapsed="false">
      <c r="B9" s="29" t="s">
        <v>178</v>
      </c>
      <c r="C9" s="30" t="n">
        <f aca="false">C5-C7</f>
        <v>150</v>
      </c>
      <c r="D9" s="30" t="n">
        <f aca="false">D5-D7</f>
        <v>149.25</v>
      </c>
      <c r="E9" s="30" t="n">
        <f aca="false">E5-E7</f>
        <v>148.29375</v>
      </c>
      <c r="F9" s="30" t="n">
        <f aca="false">F5-F7</f>
        <v>147.11863125</v>
      </c>
      <c r="G9" s="30" t="n">
        <f aca="false">G5-G7</f>
        <v>145.711421343751</v>
      </c>
      <c r="H9" s="30" t="n">
        <f aca="false">H5-H7</f>
        <v>144.058268230782</v>
      </c>
    </row>
    <row r="10" customFormat="false" ht="15" hidden="false" customHeight="false" outlineLevel="0" collapsed="false">
      <c r="B10" s="0" t="s">
        <v>179</v>
      </c>
      <c r="C10" s="27" t="n">
        <f aca="false">IFERROR(C9/C5,0)</f>
        <v>0.125</v>
      </c>
      <c r="D10" s="27" t="n">
        <f aca="false">IFERROR(D9/D5,0)</f>
        <v>0.120752427184466</v>
      </c>
      <c r="E10" s="27" t="n">
        <f aca="false">IFERROR(E9/E5,0)</f>
        <v>0.11648423508342</v>
      </c>
      <c r="F10" s="27" t="n">
        <f aca="false">IFERROR(F9/F5,0)</f>
        <v>0.112195323603242</v>
      </c>
      <c r="G10" s="27" t="n">
        <f aca="false">IFERROR(G9/G5,0)</f>
        <v>0.107885592164423</v>
      </c>
      <c r="H10" s="27" t="n">
        <f aca="false">IFERROR(H9/H5,0)</f>
        <v>0.103554939699202</v>
      </c>
    </row>
    <row r="11" customFormat="false" ht="15" hidden="false" customHeight="false" outlineLevel="0" collapsed="false">
      <c r="B11" s="0" t="s">
        <v>142</v>
      </c>
      <c r="C11" s="19" t="n">
        <f aca="false">Assumptions!E20</f>
        <v>90</v>
      </c>
      <c r="D11" s="28" t="n">
        <f aca="false">Assumptions!$E$20</f>
        <v>90</v>
      </c>
      <c r="E11" s="28" t="n">
        <f aca="false">Assumptions!$E$20</f>
        <v>90</v>
      </c>
      <c r="F11" s="28" t="n">
        <f aca="false">Assumptions!$E$20</f>
        <v>90</v>
      </c>
      <c r="G11" s="28" t="n">
        <f aca="false">Assumptions!$E$20</f>
        <v>90</v>
      </c>
      <c r="H11" s="28" t="n">
        <f aca="false">Assumptions!$E$20</f>
        <v>90</v>
      </c>
    </row>
    <row r="12" customFormat="false" ht="15" hidden="false" customHeight="false" outlineLevel="0" collapsed="false">
      <c r="B12" s="29" t="s">
        <v>180</v>
      </c>
      <c r="C12" s="30" t="n">
        <f aca="false">C9-C11</f>
        <v>60</v>
      </c>
      <c r="D12" s="30" t="n">
        <f aca="false">D9-D11</f>
        <v>59.25</v>
      </c>
      <c r="E12" s="30" t="n">
        <f aca="false">E9-E11</f>
        <v>58.29375</v>
      </c>
      <c r="F12" s="30" t="n">
        <f aca="false">F9-F11</f>
        <v>57.1186312500004</v>
      </c>
      <c r="G12" s="30" t="n">
        <f aca="false">G9-G11</f>
        <v>55.7114213437505</v>
      </c>
      <c r="H12" s="30" t="n">
        <f aca="false">H9-H11</f>
        <v>54.0582682307818</v>
      </c>
    </row>
    <row r="13" customFormat="false" ht="15" hidden="false" customHeight="false" outlineLevel="0" collapsed="false">
      <c r="B13" s="0" t="s">
        <v>130</v>
      </c>
      <c r="C13" s="19" t="n">
        <f aca="false">Assumptions!E8</f>
        <v>180</v>
      </c>
      <c r="D13" s="28" t="n">
        <f aca="false">Assumptions!$E$8</f>
        <v>180</v>
      </c>
      <c r="E13" s="28" t="n">
        <f aca="false">Assumptions!$E$8</f>
        <v>180</v>
      </c>
      <c r="F13" s="28" t="n">
        <f aca="false">Assumptions!$E$8</f>
        <v>180</v>
      </c>
      <c r="G13" s="28" t="n">
        <f aca="false">Assumptions!$E$8</f>
        <v>180</v>
      </c>
      <c r="H13" s="28" t="n">
        <f aca="false">Assumptions!$E$8</f>
        <v>180</v>
      </c>
    </row>
    <row r="14" customFormat="false" ht="15" hidden="false" customHeight="false" outlineLevel="0" collapsed="false">
      <c r="B14" s="29" t="s">
        <v>181</v>
      </c>
      <c r="C14" s="30" t="n">
        <f aca="false">C12-C13</f>
        <v>-120</v>
      </c>
      <c r="D14" s="30" t="n">
        <f aca="false">D12-D13</f>
        <v>-120.75</v>
      </c>
      <c r="E14" s="30" t="n">
        <f aca="false">E12-E13</f>
        <v>-121.70625</v>
      </c>
      <c r="F14" s="30" t="n">
        <f aca="false">F12-F13</f>
        <v>-122.88136875</v>
      </c>
      <c r="G14" s="30" t="n">
        <f aca="false">G12-G13</f>
        <v>-124.288578656249</v>
      </c>
      <c r="H14" s="30" t="n">
        <f aca="false">H12-H13</f>
        <v>-125.941731769218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7" min="3" style="0" width="13"/>
  </cols>
  <sheetData>
    <row r="2" customFormat="false" ht="27.75" hidden="false" customHeight="true" outlineLevel="0" collapsed="false">
      <c r="B2" s="1" t="s">
        <v>182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171</v>
      </c>
      <c r="C4" s="15" t="s">
        <v>173</v>
      </c>
      <c r="D4" s="15" t="s">
        <v>174</v>
      </c>
      <c r="E4" s="15" t="s">
        <v>175</v>
      </c>
      <c r="F4" s="15" t="s">
        <v>176</v>
      </c>
      <c r="G4" s="15" t="s">
        <v>177</v>
      </c>
    </row>
    <row r="5" customFormat="false" ht="15" hidden="false" customHeight="false" outlineLevel="0" collapsed="false">
      <c r="B5" s="0" t="s">
        <v>183</v>
      </c>
      <c r="C5" s="28" t="n">
        <f aca="false">Assumptions!E10</f>
        <v>2500</v>
      </c>
      <c r="D5" s="28" t="n">
        <f aca="false">C11</f>
        <v>2733.25</v>
      </c>
      <c r="E5" s="28" t="n">
        <f aca="false">D11</f>
        <v>2977.9525</v>
      </c>
      <c r="F5" s="28" t="n">
        <f aca="false">E11</f>
        <v>3234.84173125</v>
      </c>
      <c r="G5" s="28" t="n">
        <f aca="false">F11</f>
        <v>3504.6981878125</v>
      </c>
    </row>
    <row r="6" customFormat="false" ht="15" hidden="false" customHeight="false" outlineLevel="0" collapsed="false">
      <c r="B6" s="0" t="s">
        <v>184</v>
      </c>
      <c r="C6" s="28" t="n">
        <f aca="false">MIN(C5,Assumptions!$E$11)</f>
        <v>125</v>
      </c>
      <c r="D6" s="28" t="n">
        <f aca="false">MIN(D5,Assumptions!$E$11)</f>
        <v>125</v>
      </c>
      <c r="E6" s="28" t="n">
        <f aca="false">MIN(E5,Assumptions!$E$11)</f>
        <v>125</v>
      </c>
      <c r="F6" s="28" t="n">
        <f aca="false">MIN(F5,Assumptions!$E$11)</f>
        <v>125</v>
      </c>
      <c r="G6" s="28" t="n">
        <f aca="false">MIN(G5,Assumptions!$E$11)</f>
        <v>125</v>
      </c>
    </row>
    <row r="7" customFormat="false" ht="15" hidden="false" customHeight="false" outlineLevel="0" collapsed="false">
      <c r="B7" s="0" t="s">
        <v>185</v>
      </c>
      <c r="C7" s="28" t="n">
        <f aca="false">C5*Assumptions!$E$16</f>
        <v>112.5</v>
      </c>
      <c r="D7" s="28" t="n">
        <f aca="false">D5*Assumptions!$E$16</f>
        <v>122.99625</v>
      </c>
      <c r="E7" s="28" t="n">
        <f aca="false">E5*Assumptions!$E$16</f>
        <v>134.0078625</v>
      </c>
      <c r="F7" s="28" t="n">
        <f aca="false">F5*Assumptions!$E$16</f>
        <v>145.56787790625</v>
      </c>
      <c r="G7" s="28" t="n">
        <f aca="false">G5*Assumptions!$E$16</f>
        <v>157.711418451562</v>
      </c>
    </row>
    <row r="8" customFormat="false" ht="15" hidden="false" customHeight="false" outlineLevel="0" collapsed="false">
      <c r="B8" s="29" t="s">
        <v>186</v>
      </c>
      <c r="C8" s="30" t="n">
        <f aca="false">C6+C7</f>
        <v>237.5</v>
      </c>
      <c r="D8" s="30" t="n">
        <f aca="false">D6+D7</f>
        <v>247.99625</v>
      </c>
      <c r="E8" s="30" t="n">
        <f aca="false">E6+E7</f>
        <v>259.0078625</v>
      </c>
      <c r="F8" s="30" t="n">
        <f aca="false">F6+F7</f>
        <v>270.56787790625</v>
      </c>
      <c r="G8" s="30" t="n">
        <f aca="false">G6+G7</f>
        <v>282.711418451562</v>
      </c>
    </row>
    <row r="9" customFormat="false" ht="15" hidden="false" customHeight="false" outlineLevel="0" collapsed="false">
      <c r="B9" s="0" t="s">
        <v>181</v>
      </c>
      <c r="C9" s="28" t="n">
        <f aca="false">'Revenue &amp; Expenditure'!D14</f>
        <v>-120.75</v>
      </c>
      <c r="D9" s="28" t="n">
        <f aca="false">'Revenue &amp; Expenditure'!E14</f>
        <v>-121.70625</v>
      </c>
      <c r="E9" s="28" t="n">
        <f aca="false">'Revenue &amp; Expenditure'!F14</f>
        <v>-122.88136875</v>
      </c>
      <c r="F9" s="28" t="n">
        <f aca="false">'Revenue &amp; Expenditure'!G14</f>
        <v>-124.288578656249</v>
      </c>
      <c r="G9" s="28" t="n">
        <f aca="false">'Revenue &amp; Expenditure'!H14</f>
        <v>-125.941731769218</v>
      </c>
    </row>
    <row r="10" customFormat="false" ht="15" hidden="false" customHeight="false" outlineLevel="0" collapsed="false">
      <c r="B10" s="0" t="s">
        <v>187</v>
      </c>
      <c r="C10" s="28" t="n">
        <f aca="false">MAX(0,C8-C9)</f>
        <v>358.25</v>
      </c>
      <c r="D10" s="28" t="n">
        <f aca="false">MAX(0,D8-D9)</f>
        <v>369.7025</v>
      </c>
      <c r="E10" s="28" t="n">
        <f aca="false">MAX(0,E8-E9)</f>
        <v>381.88923125</v>
      </c>
      <c r="F10" s="28" t="n">
        <f aca="false">MAX(0,F8-F9)</f>
        <v>394.856456562499</v>
      </c>
      <c r="G10" s="28" t="n">
        <f aca="false">MAX(0,G8-G9)</f>
        <v>408.653150220781</v>
      </c>
    </row>
    <row r="11" customFormat="false" ht="15" hidden="false" customHeight="false" outlineLevel="0" collapsed="false">
      <c r="B11" s="29" t="s">
        <v>188</v>
      </c>
      <c r="C11" s="30" t="n">
        <f aca="false">C5-C6+C10</f>
        <v>2733.25</v>
      </c>
      <c r="D11" s="30" t="n">
        <f aca="false">D5-D6+D10</f>
        <v>2977.9525</v>
      </c>
      <c r="E11" s="30" t="n">
        <f aca="false">E5-E6+E10</f>
        <v>3234.84173125</v>
      </c>
      <c r="F11" s="30" t="n">
        <f aca="false">F5-F6+F10</f>
        <v>3504.6981878125</v>
      </c>
      <c r="G11" s="30" t="n">
        <f aca="false">G5-G6+G10</f>
        <v>3788.35133803328</v>
      </c>
    </row>
    <row r="12" customFormat="false" ht="15" hidden="false" customHeight="false" outlineLevel="0" collapsed="false">
      <c r="B12" s="0" t="s">
        <v>189</v>
      </c>
      <c r="C12" s="28" t="n">
        <f aca="false">Assumptions!E9</f>
        <v>300</v>
      </c>
      <c r="D12" s="28" t="n">
        <f aca="false">C13</f>
        <v>300</v>
      </c>
      <c r="E12" s="28" t="n">
        <f aca="false">D13</f>
        <v>300</v>
      </c>
      <c r="F12" s="28" t="n">
        <f aca="false">E13</f>
        <v>300</v>
      </c>
      <c r="G12" s="28" t="n">
        <f aca="false">F13</f>
        <v>300</v>
      </c>
    </row>
    <row r="13" customFormat="false" ht="15" hidden="false" customHeight="false" outlineLevel="0" collapsed="false">
      <c r="B13" s="29" t="s">
        <v>190</v>
      </c>
      <c r="C13" s="30" t="n">
        <f aca="false">MAX(0,C12+C9-C8+C10)</f>
        <v>300</v>
      </c>
      <c r="D13" s="30" t="n">
        <f aca="false">MAX(0,D12+D9-D8+D10)</f>
        <v>300</v>
      </c>
      <c r="E13" s="30" t="n">
        <f aca="false">MAX(0,E12+E9-E8+E10)</f>
        <v>300</v>
      </c>
      <c r="F13" s="30" t="n">
        <f aca="false">MAX(0,F12+F9-F8+F10)</f>
        <v>300</v>
      </c>
      <c r="G13" s="30" t="n">
        <f aca="false">MAX(0,G12+G9-G8+G10)</f>
        <v>300</v>
      </c>
    </row>
    <row r="14" customFormat="false" ht="15" hidden="false" customHeight="false" outlineLevel="0" collapsed="false">
      <c r="B14" s="0" t="s">
        <v>134</v>
      </c>
      <c r="C14" s="28" t="n">
        <f aca="false">Assumptions!$E$12*(1+Assumptions!$E$14)^1</f>
        <v>432.6</v>
      </c>
      <c r="D14" s="28" t="n">
        <f aca="false">Assumptions!$E$12*(1+Assumptions!$E$14)^2</f>
        <v>445.578</v>
      </c>
      <c r="E14" s="28" t="n">
        <f aca="false">Assumptions!$E$12*(1+Assumptions!$E$14)^3</f>
        <v>458.94534</v>
      </c>
      <c r="F14" s="28" t="n">
        <f aca="false">Assumptions!$E$12*(1+Assumptions!$E$14)^4</f>
        <v>472.7137002</v>
      </c>
      <c r="G14" s="28" t="n">
        <f aca="false">Assumptions!$E$12*(1+Assumptions!$E$14)^5</f>
        <v>486.895111206</v>
      </c>
    </row>
    <row r="15" customFormat="false" ht="15" hidden="false" customHeight="false" outlineLevel="0" collapsed="false">
      <c r="B15" s="0" t="s">
        <v>191</v>
      </c>
      <c r="C15" s="26" t="n">
        <f aca="false">IFERROR(C14/C8,0)</f>
        <v>1.82147368421053</v>
      </c>
      <c r="D15" s="26" t="n">
        <f aca="false">IFERROR(D14/D8,0)</f>
        <v>1.79671265190502</v>
      </c>
      <c r="E15" s="26" t="n">
        <f aca="false">IFERROR(E14/E8,0)</f>
        <v>1.7719359388173</v>
      </c>
      <c r="F15" s="26" t="n">
        <f aca="false">IFERROR(F14/F8,0)</f>
        <v>1.74711685606594</v>
      </c>
      <c r="G15" s="26" t="n">
        <f aca="false">IFERROR(G14/G8,0)</f>
        <v>1.72223362562705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7" min="3" style="0" width="13"/>
  </cols>
  <sheetData>
    <row r="2" customFormat="false" ht="27.75" hidden="false" customHeight="true" outlineLevel="0" collapsed="false">
      <c r="B2" s="1" t="s">
        <v>192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147</v>
      </c>
      <c r="C4" s="15" t="s">
        <v>173</v>
      </c>
      <c r="D4" s="15" t="s">
        <v>174</v>
      </c>
      <c r="E4" s="15" t="s">
        <v>175</v>
      </c>
      <c r="F4" s="15" t="s">
        <v>176</v>
      </c>
      <c r="G4" s="15" t="s">
        <v>177</v>
      </c>
    </row>
    <row r="5" customFormat="false" ht="15" hidden="false" customHeight="false" outlineLevel="0" collapsed="false">
      <c r="B5" s="0" t="s">
        <v>193</v>
      </c>
      <c r="C5" s="26" t="n">
        <f aca="false">IFERROR('Debt Service'!C11/'Revenue &amp; Expenditure'!D5,0)</f>
        <v>2.21136731391586</v>
      </c>
      <c r="D5" s="26" t="n">
        <f aca="false">IFERROR('Debt Service'!D11/'Revenue &amp; Expenditure'!E5,0)</f>
        <v>2.33917153674553</v>
      </c>
      <c r="E5" s="26" t="n">
        <f aca="false">IFERROR('Debt Service'!E11/'Revenue &amp; Expenditure'!F5,0)</f>
        <v>2.46694869140081</v>
      </c>
      <c r="F5" s="26" t="n">
        <f aca="false">IFERROR('Debt Service'!F11/'Revenue &amp; Expenditure'!G5,0)</f>
        <v>2.59489912227083</v>
      </c>
      <c r="G5" s="26" t="n">
        <f aca="false">IFERROR('Debt Service'!G11/'Revenue &amp; Expenditure'!H5,0)</f>
        <v>2.72322095210084</v>
      </c>
    </row>
    <row r="6" customFormat="false" ht="15" hidden="false" customHeight="false" outlineLevel="0" collapsed="false">
      <c r="B6" s="0" t="s">
        <v>139</v>
      </c>
      <c r="C6" s="26" t="n">
        <f aca="false">Assumptions!E17</f>
        <v>2.5</v>
      </c>
      <c r="D6" s="26" t="n">
        <f aca="false">Assumptions!E17</f>
        <v>2.5</v>
      </c>
      <c r="E6" s="26" t="n">
        <f aca="false">Assumptions!E17</f>
        <v>2.5</v>
      </c>
      <c r="F6" s="26" t="n">
        <f aca="false">Assumptions!E17</f>
        <v>2.5</v>
      </c>
      <c r="G6" s="26" t="n">
        <f aca="false">Assumptions!E17</f>
        <v>2.5</v>
      </c>
    </row>
    <row r="7" customFormat="false" ht="15" hidden="false" customHeight="false" outlineLevel="0" collapsed="false">
      <c r="B7" s="0" t="s">
        <v>194</v>
      </c>
      <c r="C7" s="26" t="n">
        <f aca="false">C6-C5</f>
        <v>0.288632686084143</v>
      </c>
      <c r="D7" s="26" t="n">
        <f aca="false">D6-D5</f>
        <v>0.160828463254469</v>
      </c>
      <c r="E7" s="26" t="n">
        <f aca="false">E6-E5</f>
        <v>0.0330513085991901</v>
      </c>
      <c r="F7" s="26" t="n">
        <f aca="false">F6-F5</f>
        <v>-0.0948991222708262</v>
      </c>
      <c r="G7" s="26" t="n">
        <f aca="false">G6-G5</f>
        <v>-0.22322095210084</v>
      </c>
    </row>
    <row r="8" customFormat="false" ht="15" hidden="false" customHeight="false" outlineLevel="0" collapsed="false">
      <c r="B8" s="0" t="s">
        <v>191</v>
      </c>
      <c r="C8" s="26" t="n">
        <f aca="false">'Debt Service'!C15</f>
        <v>1.82147368421053</v>
      </c>
      <c r="D8" s="26" t="n">
        <f aca="false">'Debt Service'!D15</f>
        <v>1.79671265190502</v>
      </c>
      <c r="E8" s="26" t="n">
        <f aca="false">'Debt Service'!E15</f>
        <v>1.7719359388173</v>
      </c>
      <c r="F8" s="26" t="n">
        <f aca="false">'Debt Service'!F15</f>
        <v>1.74711685606594</v>
      </c>
      <c r="G8" s="26" t="n">
        <f aca="false">'Debt Service'!G15</f>
        <v>1.72223362562705</v>
      </c>
    </row>
    <row r="9" customFormat="false" ht="15" hidden="false" customHeight="false" outlineLevel="0" collapsed="false">
      <c r="B9" s="0" t="s">
        <v>140</v>
      </c>
      <c r="C9" s="26" t="n">
        <f aca="false">Assumptions!E18</f>
        <v>1.5</v>
      </c>
      <c r="D9" s="26" t="n">
        <f aca="false">Assumptions!E18</f>
        <v>1.5</v>
      </c>
      <c r="E9" s="26" t="n">
        <f aca="false">Assumptions!E18</f>
        <v>1.5</v>
      </c>
      <c r="F9" s="26" t="n">
        <f aca="false">Assumptions!E18</f>
        <v>1.5</v>
      </c>
      <c r="G9" s="26" t="n">
        <f aca="false">Assumptions!E18</f>
        <v>1.5</v>
      </c>
    </row>
    <row r="10" customFormat="false" ht="15" hidden="false" customHeight="false" outlineLevel="0" collapsed="false">
      <c r="B10" s="0" t="s">
        <v>195</v>
      </c>
      <c r="C10" s="26" t="n">
        <f aca="false">C8-C9</f>
        <v>0.321473684210526</v>
      </c>
      <c r="D10" s="26" t="n">
        <f aca="false">D8-D9</f>
        <v>0.296712651905019</v>
      </c>
      <c r="E10" s="26" t="n">
        <f aca="false">E8-E9</f>
        <v>0.271935938817302</v>
      </c>
      <c r="F10" s="26" t="n">
        <f aca="false">F8-F9</f>
        <v>0.247116856065938</v>
      </c>
      <c r="G10" s="26" t="n">
        <f aca="false">G8-G9</f>
        <v>0.222233625627048</v>
      </c>
    </row>
    <row r="11" customFormat="false" ht="15" hidden="false" customHeight="false" outlineLevel="0" collapsed="false">
      <c r="B11" s="0" t="s">
        <v>196</v>
      </c>
      <c r="C11" s="31" t="n">
        <f aca="false">IFERROR('Debt Service'!C13/('Revenue &amp; Expenditure'!D7/365),0)</f>
        <v>100.759144237405</v>
      </c>
      <c r="D11" s="31" t="n">
        <f aca="false">IFERROR('Debt Service'!D13/('Revenue &amp; Expenditure'!E7/365),0)</f>
        <v>97.3518301810678</v>
      </c>
      <c r="E11" s="31" t="n">
        <f aca="false">IFERROR('Debt Service'!E13/('Revenue &amp; Expenditure'!F7/365),0)</f>
        <v>94.0597393053795</v>
      </c>
      <c r="F11" s="31" t="n">
        <f aca="false">IFERROR('Debt Service'!F13/('Revenue &amp; Expenditure'!G7/365),0)</f>
        <v>90.8789751742797</v>
      </c>
      <c r="G11" s="31" t="n">
        <f aca="false">IFERROR('Debt Service'!G13/('Revenue &amp; Expenditure'!H7/365),0)</f>
        <v>87.8057731152461</v>
      </c>
    </row>
    <row r="12" customFormat="false" ht="15" hidden="false" customHeight="false" outlineLevel="0" collapsed="false">
      <c r="B12" s="0" t="s">
        <v>141</v>
      </c>
      <c r="C12" s="31" t="n">
        <f aca="false">Assumptions!E19</f>
        <v>90</v>
      </c>
      <c r="D12" s="31" t="n">
        <f aca="false">Assumptions!E19</f>
        <v>90</v>
      </c>
      <c r="E12" s="31" t="n">
        <f aca="false">Assumptions!E19</f>
        <v>90</v>
      </c>
      <c r="F12" s="31" t="n">
        <f aca="false">Assumptions!E19</f>
        <v>90</v>
      </c>
      <c r="G12" s="31" t="n">
        <f aca="false">Assumptions!E19</f>
        <v>90</v>
      </c>
    </row>
    <row r="13" customFormat="false" ht="15" hidden="false" customHeight="false" outlineLevel="0" collapsed="false">
      <c r="B13" s="0" t="s">
        <v>197</v>
      </c>
      <c r="C13" s="31" t="n">
        <f aca="false">C11-C12</f>
        <v>10.7591442374051</v>
      </c>
      <c r="D13" s="31" t="n">
        <f aca="false">D11-D12</f>
        <v>7.35183018106775</v>
      </c>
      <c r="E13" s="31" t="n">
        <f aca="false">E11-E12</f>
        <v>4.05973930537948</v>
      </c>
      <c r="F13" s="31" t="n">
        <f aca="false">F11-F12</f>
        <v>0.878975174279702</v>
      </c>
      <c r="G13" s="31" t="n">
        <f aca="false">G11-G12</f>
        <v>-2.1942268847539</v>
      </c>
    </row>
    <row r="14" customFormat="false" ht="15" hidden="false" customHeight="false" outlineLevel="0" collapsed="false">
      <c r="B14" s="0" t="s">
        <v>198</v>
      </c>
      <c r="C14" s="27" t="n">
        <f aca="false">IFERROR('Revenue &amp; Expenditure'!D11/'Revenue &amp; Expenditure'!D5,0)</f>
        <v>0.0728155339805825</v>
      </c>
      <c r="D14" s="27" t="n">
        <f aca="false">IFERROR('Revenue &amp; Expenditure'!E11/'Revenue &amp; Expenditure'!E5,0)</f>
        <v>0.0706946931850316</v>
      </c>
      <c r="E14" s="27" t="n">
        <f aca="false">IFERROR('Revenue &amp; Expenditure'!F11/'Revenue &amp; Expenditure'!F5,0)</f>
        <v>0.068635624451487</v>
      </c>
      <c r="F14" s="27" t="n">
        <f aca="false">IFERROR('Revenue &amp; Expenditure'!G11/'Revenue &amp; Expenditure'!G5,0)</f>
        <v>0.0666365285936767</v>
      </c>
      <c r="G14" s="27" t="n">
        <f aca="false">IFERROR('Revenue &amp; Expenditure'!H11/'Revenue &amp; Expenditure'!H5,0)</f>
        <v>0.0646956588288123</v>
      </c>
    </row>
    <row r="15" customFormat="false" ht="15" hidden="false" customHeight="false" outlineLevel="0" collapsed="false">
      <c r="B15" s="0" t="s">
        <v>44</v>
      </c>
      <c r="C15" s="0" t="str">
        <f aca="false">IF(AND(C7&gt;=0,C10&gt;=0,C13&gt;=0),"PASS","BREACH")</f>
        <v>PASS</v>
      </c>
      <c r="D15" s="0" t="str">
        <f aca="false">IF(AND(D7&gt;=0,D10&gt;=0,D13&gt;=0),"PASS","BREACH")</f>
        <v>PASS</v>
      </c>
      <c r="E15" s="0" t="str">
        <f aca="false">IF(AND(E7&gt;=0,E10&gt;=0,E13&gt;=0),"PASS","BREACH")</f>
        <v>PASS</v>
      </c>
      <c r="F15" s="0" t="str">
        <f aca="false">IF(AND(F7&gt;=0,F10&gt;=0,F13&gt;=0),"PASS","BREACH")</f>
        <v>BREACH</v>
      </c>
      <c r="G15" s="0" t="str">
        <f aca="false">IF(AND(G7&gt;=0,G10&gt;=0,G13&gt;=0),"PASS","BREACH")</f>
        <v>BREACH</v>
      </c>
    </row>
  </sheetData>
  <mergeCells count="1">
    <mergeCell ref="B2:G2"/>
  </mergeCells>
  <conditionalFormatting sqref="C15:G15">
    <cfRule type="expression" priority="2" aboveAverage="0" equalAverage="0" bottom="0" percent="0" rank="0" text="" dxfId="0">
      <formula>C15="PASS"</formula>
    </cfRule>
    <cfRule type="expression" priority="3" aboveAverage="0" equalAverage="0" bottom="0" percent="0" rank="0" text="" dxfId="1">
      <formula>C15="FAIL"</formula>
    </cfRule>
    <cfRule type="expression" priority="4" aboveAverage="0" equalAverage="0" bottom="0" percent="0" rank="0" text="" dxfId="2">
      <formula>C15="REVIEW"</formula>
    </cfRule>
    <cfRule type="expression" priority="5" aboveAverage="0" equalAverage="0" bottom="0" percent="0" rank="0" text="" dxfId="1">
      <formula>C15="BREACH"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32"/>
  </cols>
  <sheetData>
    <row r="2" customFormat="false" ht="27.75" hidden="false" customHeight="true" outlineLevel="0" collapsed="false">
      <c r="B2" s="1" t="s">
        <v>199</v>
      </c>
      <c r="C2" s="1"/>
      <c r="D2" s="1"/>
      <c r="E2" s="1"/>
    </row>
    <row r="4" customFormat="false" ht="15" hidden="false" customHeight="false" outlineLevel="0" collapsed="false">
      <c r="B4" s="15" t="s">
        <v>147</v>
      </c>
      <c r="C4" s="15" t="s">
        <v>12</v>
      </c>
      <c r="D4" s="15" t="s">
        <v>124</v>
      </c>
      <c r="E4" s="15" t="s">
        <v>200</v>
      </c>
    </row>
    <row r="5" customFormat="false" ht="15" hidden="false" customHeight="false" outlineLevel="0" collapsed="false">
      <c r="B5" s="0" t="s">
        <v>178</v>
      </c>
      <c r="C5" s="28" t="n">
        <f aca="false">Assumptions!C6-Assumptions!C7-Assumptions!C20</f>
        <v>60</v>
      </c>
      <c r="D5" s="28" t="n">
        <f aca="false">Assumptions!D6-Assumptions!D7-Assumptions!D20</f>
        <v>-120</v>
      </c>
      <c r="E5" s="14" t="s">
        <v>201</v>
      </c>
    </row>
    <row r="6" customFormat="false" ht="15" hidden="false" customHeight="false" outlineLevel="0" collapsed="false">
      <c r="B6" s="0" t="s">
        <v>202</v>
      </c>
      <c r="C6" s="26" t="n">
        <f aca="false">IFERROR(Assumptions!C10/Assumptions!C6,0)</f>
        <v>2.08333333333333</v>
      </c>
      <c r="D6" s="26" t="n">
        <f aca="false">IFERROR(Assumptions!D10/Assumptions!D6,0)</f>
        <v>2.31481481481482</v>
      </c>
      <c r="E6" s="14" t="s">
        <v>201</v>
      </c>
    </row>
    <row r="7" customFormat="false" ht="15" hidden="false" customHeight="false" outlineLevel="0" collapsed="false">
      <c r="B7" s="0" t="s">
        <v>191</v>
      </c>
      <c r="C7" s="26" t="n">
        <f aca="false">IFERROR(Assumptions!C12/(Assumptions!C11+Assumptions!C10*Assumptions!C16),0)</f>
        <v>1.76842105263158</v>
      </c>
      <c r="D7" s="26" t="n">
        <f aca="false">IFERROR(Assumptions!D12/(Assumptions!D11+Assumptions!D10*Assumptions!D16),0)</f>
        <v>1.30909090909091</v>
      </c>
      <c r="E7" s="14" t="s">
        <v>201</v>
      </c>
    </row>
    <row r="8" customFormat="false" ht="15" hidden="false" customHeight="false" outlineLevel="0" collapsed="false">
      <c r="B8" s="0" t="s">
        <v>203</v>
      </c>
      <c r="C8" s="31" t="n">
        <f aca="false">IFERROR(Assumptions!C9/(Assumptions!C7/365),0)</f>
        <v>104.285714285714</v>
      </c>
      <c r="D8" s="31" t="n">
        <f aca="false">IFERROR(Assumptions!D9/(Assumptions!D7/365),0)</f>
        <v>73.6697247706422</v>
      </c>
      <c r="E8" s="14" t="s">
        <v>201</v>
      </c>
    </row>
    <row r="9" customFormat="false" ht="15" hidden="false" customHeight="false" outlineLevel="0" collapsed="false">
      <c r="B9" s="0" t="s">
        <v>161</v>
      </c>
      <c r="C9" s="27" t="n">
        <f aca="false">IFERROR((Assumptions!C16-Assumptions!C21)/(1+Assumptions!C21)*(Assumptions!C10/Assumptions!C6),0)</f>
        <v>0.0303398058252427</v>
      </c>
      <c r="D9" s="27" t="n">
        <f aca="false">IFERROR((Assumptions!D16-Assumptions!D21)/(1+Assumptions!D21)*(Assumptions!D10/Assumptions!D6),0)</f>
        <v>0.138888888888889</v>
      </c>
      <c r="E9" s="14" t="s">
        <v>201</v>
      </c>
    </row>
    <row r="10" customFormat="false" ht="15" hidden="false" customHeight="false" outlineLevel="0" collapsed="false">
      <c r="B10" s="0" t="s">
        <v>204</v>
      </c>
      <c r="C10" s="0" t="str">
        <f aca="false">IF(AND(C5&gt;0,C6&lt;=Assumptions!C17,C7&gt;=Assumptions!C18,C8&gt;=Assumptions!C19),"PASS","REVIEW")</f>
        <v>PASS</v>
      </c>
      <c r="D10" s="0" t="str">
        <f aca="false">IF(AND(D5&gt;0,D6&lt;=Assumptions!D17,D7&gt;=Assumptions!D18,D8&gt;=Assumptions!D19),"PASS","REVIEW")</f>
        <v>REVIEW</v>
      </c>
      <c r="E10" s="14" t="s">
        <v>201</v>
      </c>
    </row>
  </sheetData>
  <mergeCells count="1">
    <mergeCell ref="B2:E2"/>
  </mergeCells>
  <conditionalFormatting sqref="C10:D10">
    <cfRule type="expression" priority="2" aboveAverage="0" equalAverage="0" bottom="0" percent="0" rank="0" text="" dxfId="0">
      <formula>C10="PASS"</formula>
    </cfRule>
    <cfRule type="expression" priority="3" aboveAverage="0" equalAverage="0" bottom="0" percent="0" rank="0" text="" dxfId="1">
      <formula>C10="FAIL"</formula>
    </cfRule>
    <cfRule type="expression" priority="4" aboveAverage="0" equalAverage="0" bottom="0" percent="0" rank="0" text="" dxfId="2">
      <formula>C10="REVIEW"</formula>
    </cfRule>
    <cfRule type="expression" priority="5" aboveAverage="0" equalAverage="0" bottom="0" percent="0" rank="0" text="" dxfId="1">
      <formula>C10="BREACH"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7" min="3" style="0" width="12"/>
  </cols>
  <sheetData>
    <row r="2" customFormat="false" ht="27.75" hidden="false" customHeight="true" outlineLevel="0" collapsed="false">
      <c r="B2" s="1" t="s">
        <v>205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206</v>
      </c>
      <c r="C4" s="32" t="n">
        <v>-0.02</v>
      </c>
      <c r="D4" s="32" t="n">
        <v>0</v>
      </c>
      <c r="E4" s="32" t="n">
        <v>0.02</v>
      </c>
      <c r="F4" s="32" t="n">
        <v>0.04</v>
      </c>
      <c r="G4" s="32" t="n">
        <v>0.06</v>
      </c>
    </row>
    <row r="5" customFormat="false" ht="15" hidden="false" customHeight="false" outlineLevel="0" collapsed="false">
      <c r="B5" s="27" t="n">
        <v>-0.05</v>
      </c>
      <c r="C5" s="26" t="n">
        <f aca="false">'Debt Sustainability'!$C$5*(1+C$4)-$B5</f>
        <v>2.09166666666667</v>
      </c>
      <c r="D5" s="26" t="n">
        <f aca="false">'Debt Sustainability'!$C$5*(1+D$4)-$B5</f>
        <v>2.13333333333333</v>
      </c>
      <c r="E5" s="26" t="n">
        <f aca="false">'Debt Sustainability'!$C$5*(1+E$4)-$B5</f>
        <v>2.175</v>
      </c>
      <c r="F5" s="26" t="n">
        <f aca="false">'Debt Sustainability'!$C$5*(1+F$4)-$B5</f>
        <v>2.21666666666667</v>
      </c>
      <c r="G5" s="26" t="n">
        <f aca="false">'Debt Sustainability'!$C$5*(1+G$4)-$B5</f>
        <v>2.25833333333333</v>
      </c>
    </row>
    <row r="6" customFormat="false" ht="15" hidden="false" customHeight="false" outlineLevel="0" collapsed="false">
      <c r="B6" s="27" t="n">
        <v>-0.025</v>
      </c>
      <c r="C6" s="26" t="n">
        <f aca="false">'Debt Sustainability'!$C$5*(1+C$4)-$B6</f>
        <v>2.06666666666667</v>
      </c>
      <c r="D6" s="26" t="n">
        <f aca="false">'Debt Sustainability'!$C$5*(1+D$4)-$B6</f>
        <v>2.10833333333333</v>
      </c>
      <c r="E6" s="26" t="n">
        <f aca="false">'Debt Sustainability'!$C$5*(1+E$4)-$B6</f>
        <v>2.15</v>
      </c>
      <c r="F6" s="26" t="n">
        <f aca="false">'Debt Sustainability'!$C$5*(1+F$4)-$B6</f>
        <v>2.19166666666667</v>
      </c>
      <c r="G6" s="26" t="n">
        <f aca="false">'Debt Sustainability'!$C$5*(1+G$4)-$B6</f>
        <v>2.23333333333333</v>
      </c>
    </row>
    <row r="7" customFormat="false" ht="15" hidden="false" customHeight="false" outlineLevel="0" collapsed="false">
      <c r="B7" s="27" t="n">
        <v>0</v>
      </c>
      <c r="C7" s="26" t="n">
        <f aca="false">'Debt Sustainability'!$C$5*(1+C$4)-$B7</f>
        <v>2.04166666666667</v>
      </c>
      <c r="D7" s="26" t="n">
        <f aca="false">'Debt Sustainability'!$C$5*(1+D$4)-$B7</f>
        <v>2.08333333333333</v>
      </c>
      <c r="E7" s="26" t="n">
        <f aca="false">'Debt Sustainability'!$C$5*(1+E$4)-$B7</f>
        <v>2.125</v>
      </c>
      <c r="F7" s="26" t="n">
        <f aca="false">'Debt Sustainability'!$C$5*(1+F$4)-$B7</f>
        <v>2.16666666666667</v>
      </c>
      <c r="G7" s="26" t="n">
        <f aca="false">'Debt Sustainability'!$C$5*(1+G$4)-$B7</f>
        <v>2.20833333333333</v>
      </c>
    </row>
    <row r="8" customFormat="false" ht="15" hidden="false" customHeight="false" outlineLevel="0" collapsed="false">
      <c r="B8" s="27" t="n">
        <v>0.025</v>
      </c>
      <c r="C8" s="26" t="n">
        <f aca="false">'Debt Sustainability'!$C$5*(1+C$4)-$B8</f>
        <v>2.01666666666667</v>
      </c>
      <c r="D8" s="26" t="n">
        <f aca="false">'Debt Sustainability'!$C$5*(1+D$4)-$B8</f>
        <v>2.05833333333333</v>
      </c>
      <c r="E8" s="26" t="n">
        <f aca="false">'Debt Sustainability'!$C$5*(1+E$4)-$B8</f>
        <v>2.1</v>
      </c>
      <c r="F8" s="26" t="n">
        <f aca="false">'Debt Sustainability'!$C$5*(1+F$4)-$B8</f>
        <v>2.14166666666667</v>
      </c>
      <c r="G8" s="26" t="n">
        <f aca="false">'Debt Sustainability'!$C$5*(1+G$4)-$B8</f>
        <v>2.18333333333333</v>
      </c>
    </row>
    <row r="9" customFormat="false" ht="15" hidden="false" customHeight="false" outlineLevel="0" collapsed="false">
      <c r="B9" s="27" t="n">
        <v>0.05</v>
      </c>
      <c r="C9" s="26" t="n">
        <f aca="false">'Debt Sustainability'!$C$5*(1+C$4)-$B9</f>
        <v>1.99166666666667</v>
      </c>
      <c r="D9" s="26" t="n">
        <f aca="false">'Debt Sustainability'!$C$5*(1+D$4)-$B9</f>
        <v>2.03333333333333</v>
      </c>
      <c r="E9" s="26" t="n">
        <f aca="false">'Debt Sustainability'!$C$5*(1+E$4)-$B9</f>
        <v>2.075</v>
      </c>
      <c r="F9" s="26" t="n">
        <f aca="false">'Debt Sustainability'!$C$5*(1+F$4)-$B9</f>
        <v>2.11666666666667</v>
      </c>
      <c r="G9" s="26" t="n">
        <f aca="false">'Debt Sustainability'!$C$5*(1+G$4)-$B9</f>
        <v>2.15833333333333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207</v>
      </c>
      <c r="C2" s="1"/>
    </row>
    <row r="4" customFormat="false" ht="15" hidden="false" customHeight="false" outlineLevel="0" collapsed="false">
      <c r="B4" s="15" t="s">
        <v>208</v>
      </c>
      <c r="C4" s="15" t="s">
        <v>44</v>
      </c>
    </row>
    <row r="5" customFormat="false" ht="15" hidden="false" customHeight="false" outlineLevel="0" collapsed="false">
      <c r="B5" s="0" t="s">
        <v>209</v>
      </c>
      <c r="C5" s="0" t="str">
        <f aca="false">IF(MIN('Debt Service'!C11:G11)&gt;=0,"PASS","FAIL")</f>
        <v>PASS</v>
      </c>
    </row>
    <row r="6" customFormat="false" ht="15" hidden="false" customHeight="false" outlineLevel="0" collapsed="false">
      <c r="B6" s="0" t="s">
        <v>210</v>
      </c>
      <c r="C6" s="0" t="str">
        <f aca="false">IF(MIN('Debt Service'!C13:G13)&gt;=0,"PASS","FAIL")</f>
        <v>PASS</v>
      </c>
    </row>
    <row r="7" customFormat="false" ht="15" hidden="false" customHeight="false" outlineLevel="0" collapsed="false">
      <c r="B7" s="0" t="s">
        <v>211</v>
      </c>
      <c r="C7" s="0" t="str">
        <f aca="false">IF(AND(MAX(Coverage!C5:G14)&lt;1000,MIN(Coverage!C5:G14)&gt;-1000),"PASS","FAIL")</f>
        <v>PASS</v>
      </c>
    </row>
    <row r="8" customFormat="false" ht="15" hidden="false" customHeight="false" outlineLevel="0" collapsed="false">
      <c r="B8" s="0" t="s">
        <v>212</v>
      </c>
      <c r="C8" s="0" t="str">
        <f aca="false">IF(COUNTIF(Coverage!C15:G15,"BREACH")=0,"PASS","REVIEW")</f>
        <v>REVIEW</v>
      </c>
    </row>
    <row r="9" customFormat="false" ht="15" hidden="false" customHeight="false" outlineLevel="0" collapsed="false">
      <c r="B9" s="0" t="s">
        <v>213</v>
      </c>
      <c r="C9" s="0" t="str">
        <f aca="false">IF(AND('Debt Sustainability'!C12&gt;=0,'Debt Sustainability'!C12&lt;10),"PASS","REVIEW")</f>
        <v>PASS</v>
      </c>
    </row>
    <row r="10" customFormat="false" ht="15" hidden="false" customHeight="false" outlineLevel="0" collapsed="false">
      <c r="B10" s="0" t="s">
        <v>204</v>
      </c>
      <c r="C10" s="0" t="str">
        <f aca="false">IF(COUNTIF(C5:C9,"FAIL")+COUNTIF(C5:C9,"REVIEW")=0,"PASS","REVIEW")</f>
        <v>REVIEW</v>
      </c>
    </row>
  </sheetData>
  <mergeCells count="1">
    <mergeCell ref="B2:C2"/>
  </mergeCells>
  <conditionalFormatting sqref="C5:C10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214</v>
      </c>
      <c r="C2" s="1"/>
      <c r="D2" s="1"/>
      <c r="E2" s="1"/>
    </row>
    <row r="4" customFormat="false" ht="15" hidden="false" customHeight="false" outlineLevel="0" collapsed="false">
      <c r="B4" s="15" t="s">
        <v>215</v>
      </c>
      <c r="C4" s="15" t="s">
        <v>216</v>
      </c>
      <c r="D4" s="15" t="s">
        <v>107</v>
      </c>
      <c r="E4" s="15" t="s">
        <v>217</v>
      </c>
    </row>
    <row r="5" customFormat="false" ht="15" hidden="false" customHeight="false" outlineLevel="0" collapsed="false">
      <c r="B5" s="33" t="s">
        <v>218</v>
      </c>
      <c r="C5" s="33" t="s">
        <v>219</v>
      </c>
      <c r="D5" s="33" t="s">
        <v>220</v>
      </c>
      <c r="E5" s="33" t="s">
        <v>221</v>
      </c>
    </row>
    <row r="6" customFormat="false" ht="15" hidden="false" customHeight="false" outlineLevel="0" collapsed="false">
      <c r="B6" s="33" t="s">
        <v>222</v>
      </c>
      <c r="C6" s="33" t="s">
        <v>223</v>
      </c>
      <c r="D6" s="33" t="s">
        <v>8</v>
      </c>
      <c r="E6" s="33" t="s">
        <v>224</v>
      </c>
    </row>
    <row r="7" customFormat="false" ht="15" hidden="false" customHeight="false" outlineLevel="0" collapsed="false">
      <c r="B7" s="33" t="s">
        <v>225</v>
      </c>
      <c r="C7" s="33" t="s">
        <v>226</v>
      </c>
      <c r="D7" s="33" t="s">
        <v>220</v>
      </c>
      <c r="E7" s="33" t="s">
        <v>227</v>
      </c>
    </row>
    <row r="8" customFormat="false" ht="15" hidden="false" customHeight="false" outlineLevel="0" collapsed="false">
      <c r="B8" s="33" t="s">
        <v>228</v>
      </c>
      <c r="C8" s="33" t="s">
        <v>229</v>
      </c>
      <c r="D8" s="33" t="s">
        <v>8</v>
      </c>
      <c r="E8" s="33" t="s">
        <v>230</v>
      </c>
    </row>
    <row r="9" customFormat="false" ht="15" hidden="false" customHeight="false" outlineLevel="0" collapsed="false">
      <c r="B9" s="33" t="s">
        <v>231</v>
      </c>
      <c r="C9" s="33" t="s">
        <v>232</v>
      </c>
      <c r="D9" s="33" t="s">
        <v>8</v>
      </c>
      <c r="E9" s="33" t="s">
        <v>233</v>
      </c>
    </row>
    <row r="10" customFormat="false" ht="15" hidden="false" customHeight="false" outlineLevel="0" collapsed="false">
      <c r="B10" s="34" t="s">
        <v>234</v>
      </c>
      <c r="C10" s="34" t="s">
        <v>235</v>
      </c>
      <c r="D10" s="34" t="s">
        <v>6</v>
      </c>
      <c r="E10" s="34" t="s">
        <v>236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237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95</v>
      </c>
      <c r="C4" s="15" t="s">
        <v>238</v>
      </c>
      <c r="D4" s="15" t="s">
        <v>239</v>
      </c>
      <c r="E4" s="15" t="s">
        <v>240</v>
      </c>
      <c r="F4" s="15" t="s">
        <v>241</v>
      </c>
      <c r="G4" s="15" t="s">
        <v>242</v>
      </c>
    </row>
    <row r="5" customFormat="false" ht="15" hidden="false" customHeight="false" outlineLevel="0" collapsed="false">
      <c r="B5" s="35" t="s">
        <v>6</v>
      </c>
      <c r="C5" s="35" t="s">
        <v>243</v>
      </c>
      <c r="D5" s="35" t="s">
        <v>235</v>
      </c>
      <c r="E5" s="35" t="s">
        <v>244</v>
      </c>
      <c r="F5" s="35" t="s">
        <v>245</v>
      </c>
      <c r="G5" s="35" t="s">
        <v>246</v>
      </c>
    </row>
    <row r="6" customFormat="false" ht="15" hidden="false" customHeight="false" outlineLevel="0" collapsed="false">
      <c r="B6" s="35"/>
      <c r="C6" s="35"/>
      <c r="D6" s="35"/>
      <c r="E6" s="35"/>
      <c r="F6" s="35"/>
      <c r="G6" s="35"/>
    </row>
    <row r="7" customFormat="false" ht="15" hidden="false" customHeight="false" outlineLevel="0" collapsed="false">
      <c r="B7" s="35"/>
      <c r="C7" s="35"/>
      <c r="D7" s="35"/>
      <c r="E7" s="35"/>
      <c r="F7" s="35"/>
      <c r="G7" s="35"/>
    </row>
    <row r="8" customFormat="false" ht="15" hidden="false" customHeight="false" outlineLevel="0" collapsed="false">
      <c r="B8" s="35"/>
      <c r="C8" s="35"/>
      <c r="D8" s="35"/>
      <c r="E8" s="35"/>
      <c r="F8" s="35"/>
      <c r="G8" s="35"/>
    </row>
    <row r="9" customFormat="false" ht="15" hidden="false" customHeight="false" outlineLevel="0" collapsed="false">
      <c r="B9" s="35"/>
      <c r="C9" s="35"/>
      <c r="D9" s="35"/>
      <c r="E9" s="35"/>
      <c r="F9" s="35"/>
      <c r="G9" s="35"/>
    </row>
    <row r="10" customFormat="false" ht="15" hidden="false" customHeight="false" outlineLevel="0" collapsed="false">
      <c r="B10" s="35"/>
      <c r="C10" s="35"/>
      <c r="D10" s="35"/>
      <c r="E10" s="35"/>
      <c r="F10" s="35"/>
      <c r="G10" s="35"/>
    </row>
    <row r="11" customFormat="false" ht="15" hidden="false" customHeight="false" outlineLevel="0" collapsed="false">
      <c r="B11" s="35"/>
      <c r="C11" s="35"/>
      <c r="D11" s="35"/>
      <c r="E11" s="35"/>
      <c r="F11" s="35"/>
      <c r="G11" s="35"/>
    </row>
    <row r="12" customFormat="false" ht="15" hidden="false" customHeight="false" outlineLevel="0" collapsed="false">
      <c r="B12" s="35"/>
      <c r="C12" s="35"/>
      <c r="D12" s="35"/>
      <c r="E12" s="35"/>
      <c r="F12" s="35"/>
      <c r="G12" s="35"/>
    </row>
    <row r="13" customFormat="false" ht="15" hidden="false" customHeight="false" outlineLevel="0" collapsed="false">
      <c r="B13" s="35"/>
      <c r="C13" s="35"/>
      <c r="D13" s="35"/>
      <c r="E13" s="35"/>
      <c r="F13" s="35"/>
      <c r="G13" s="35"/>
    </row>
    <row r="14" customFormat="false" ht="15" hidden="false" customHeight="false" outlineLevel="0" collapsed="false">
      <c r="B14" s="35"/>
      <c r="C14" s="35"/>
      <c r="D14" s="35"/>
      <c r="E14" s="35"/>
      <c r="F14" s="35"/>
      <c r="G14" s="35"/>
    </row>
    <row r="15" customFormat="false" ht="15" hidden="false" customHeight="false" outlineLevel="0" collapsed="false">
      <c r="B15" s="35"/>
      <c r="C15" s="35"/>
      <c r="D15" s="35"/>
      <c r="E15" s="35"/>
      <c r="F15" s="35"/>
      <c r="G15" s="35"/>
    </row>
    <row r="16" customFormat="false" ht="15" hidden="false" customHeight="false" outlineLevel="0" collapsed="false">
      <c r="B16" s="35"/>
      <c r="C16" s="35"/>
      <c r="D16" s="35"/>
      <c r="E16" s="35"/>
      <c r="F16" s="35"/>
      <c r="G16" s="35"/>
    </row>
    <row r="17" customFormat="false" ht="15" hidden="false" customHeight="false" outlineLevel="0" collapsed="false">
      <c r="B17" s="35"/>
      <c r="C17" s="35"/>
      <c r="D17" s="35"/>
      <c r="E17" s="35"/>
      <c r="F17" s="35"/>
      <c r="G17" s="35"/>
    </row>
    <row r="18" customFormat="false" ht="15" hidden="false" customHeight="false" outlineLevel="0" collapsed="false">
      <c r="B18" s="35"/>
      <c r="C18" s="35"/>
      <c r="D18" s="35"/>
      <c r="E18" s="35"/>
      <c r="F18" s="35"/>
      <c r="G18" s="35"/>
    </row>
    <row r="19" customFormat="false" ht="15" hidden="false" customHeight="false" outlineLevel="0" collapsed="false">
      <c r="B19" s="35"/>
      <c r="C19" s="35"/>
      <c r="D19" s="35"/>
      <c r="E19" s="35"/>
      <c r="F19" s="35"/>
      <c r="G19" s="35"/>
    </row>
    <row r="20" customFormat="false" ht="15" hidden="false" customHeight="false" outlineLevel="0" collapsed="false">
      <c r="B20" s="35"/>
      <c r="C20" s="35"/>
      <c r="D20" s="35"/>
      <c r="E20" s="35"/>
      <c r="F20" s="35"/>
      <c r="G20" s="35"/>
    </row>
    <row r="21" customFormat="false" ht="15" hidden="false" customHeight="false" outlineLevel="0" collapsed="false">
      <c r="B21" s="35"/>
      <c r="C21" s="35"/>
      <c r="D21" s="35"/>
      <c r="E21" s="35"/>
      <c r="F21" s="35"/>
      <c r="G21" s="35"/>
    </row>
    <row r="22" customFormat="false" ht="15" hidden="false" customHeight="false" outlineLevel="0" collapsed="false">
      <c r="B22" s="35"/>
      <c r="C22" s="35"/>
      <c r="D22" s="35"/>
      <c r="E22" s="35"/>
      <c r="F22" s="35"/>
      <c r="G22" s="35"/>
    </row>
    <row r="23" customFormat="false" ht="15" hidden="false" customHeight="false" outlineLevel="0" collapsed="false">
      <c r="B23" s="35"/>
      <c r="C23" s="35"/>
      <c r="D23" s="35"/>
      <c r="E23" s="35"/>
      <c r="F23" s="35"/>
      <c r="G23" s="35"/>
    </row>
    <row r="24" customFormat="false" ht="15" hidden="false" customHeight="false" outlineLevel="0" collapsed="false">
      <c r="B24" s="35"/>
      <c r="C24" s="35"/>
      <c r="D24" s="35"/>
      <c r="E24" s="35"/>
      <c r="F24" s="35"/>
      <c r="G24" s="35"/>
    </row>
    <row r="25" customFormat="false" ht="15" hidden="false" customHeight="false" outlineLevel="0" collapsed="false">
      <c r="B25" s="35"/>
      <c r="C25" s="35"/>
      <c r="D25" s="35"/>
      <c r="E25" s="35"/>
      <c r="F25" s="35"/>
      <c r="G25" s="35"/>
    </row>
    <row r="26" customFormat="false" ht="15" hidden="false" customHeight="false" outlineLevel="0" collapsed="false">
      <c r="B26" s="35"/>
      <c r="C26" s="35"/>
      <c r="D26" s="35"/>
      <c r="E26" s="35"/>
      <c r="F26" s="35"/>
      <c r="G26" s="35"/>
    </row>
    <row r="27" customFormat="false" ht="15" hidden="false" customHeight="false" outlineLevel="0" collapsed="false">
      <c r="B27" s="35"/>
      <c r="C27" s="35"/>
      <c r="D27" s="35"/>
      <c r="E27" s="35"/>
      <c r="F27" s="35"/>
      <c r="G27" s="35"/>
    </row>
    <row r="28" customFormat="false" ht="15" hidden="false" customHeight="false" outlineLevel="0" collapsed="false">
      <c r="B28" s="35"/>
      <c r="C28" s="35"/>
      <c r="D28" s="35"/>
      <c r="E28" s="35"/>
      <c r="F28" s="35"/>
      <c r="G28" s="35"/>
    </row>
    <row r="29" customFormat="false" ht="15" hidden="false" customHeight="false" outlineLevel="0" collapsed="false">
      <c r="B29" s="35"/>
      <c r="C29" s="35"/>
      <c r="D29" s="35"/>
      <c r="E29" s="35"/>
      <c r="F29" s="35"/>
      <c r="G29" s="35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36" t="s">
        <v>247</v>
      </c>
    </row>
    <row r="4" customFormat="false" ht="15" hidden="false" customHeight="false" outlineLevel="0" collapsed="false">
      <c r="B4" s="37" t="s">
        <v>147</v>
      </c>
      <c r="C4" s="37" t="s">
        <v>12</v>
      </c>
      <c r="D4" s="37" t="s">
        <v>248</v>
      </c>
      <c r="E4" s="37" t="s">
        <v>249</v>
      </c>
    </row>
    <row r="5" customFormat="false" ht="15" hidden="false" customHeight="false" outlineLevel="0" collapsed="false">
      <c r="B5" s="0" t="s">
        <v>250</v>
      </c>
      <c r="C5" s="38" t="n">
        <v>0.6</v>
      </c>
      <c r="D5" s="38" t="n">
        <v>0.6</v>
      </c>
    </row>
    <row r="6" customFormat="false" ht="15" hidden="false" customHeight="false" outlineLevel="0" collapsed="false">
      <c r="B6" s="0" t="s">
        <v>251</v>
      </c>
      <c r="C6" s="39" t="n">
        <v>0.05</v>
      </c>
      <c r="D6" s="39" t="n">
        <v>0.05</v>
      </c>
    </row>
    <row r="7" customFormat="false" ht="15" hidden="false" customHeight="false" outlineLevel="0" collapsed="false">
      <c r="B7" s="0" t="s">
        <v>252</v>
      </c>
      <c r="C7" s="39" t="n">
        <v>0.04</v>
      </c>
      <c r="D7" s="39" t="n">
        <v>0.04</v>
      </c>
    </row>
    <row r="8" customFormat="false" ht="15" hidden="false" customHeight="false" outlineLevel="0" collapsed="false">
      <c r="B8" s="0" t="s">
        <v>253</v>
      </c>
      <c r="C8" s="39" t="n">
        <v>0.015</v>
      </c>
      <c r="D8" s="39" t="n">
        <v>0.015</v>
      </c>
    </row>
    <row r="9" customFormat="false" ht="15" hidden="false" customHeight="false" outlineLevel="0" collapsed="false">
      <c r="B9" s="0" t="s">
        <v>134</v>
      </c>
      <c r="C9" s="40" t="n">
        <v>120</v>
      </c>
      <c r="D9" s="40" t="n">
        <v>120</v>
      </c>
    </row>
    <row r="10" customFormat="false" ht="15" hidden="false" customHeight="false" outlineLevel="0" collapsed="false">
      <c r="B10" s="0" t="s">
        <v>254</v>
      </c>
      <c r="C10" s="40" t="n">
        <v>80</v>
      </c>
      <c r="D10" s="40" t="n">
        <v>80</v>
      </c>
    </row>
    <row r="11" customFormat="false" ht="15" hidden="false" customHeight="false" outlineLevel="0" collapsed="false">
      <c r="B11" s="0" t="s">
        <v>255</v>
      </c>
      <c r="C11" s="40" t="n">
        <v>20</v>
      </c>
      <c r="D11" s="40" t="n">
        <v>20</v>
      </c>
    </row>
    <row r="12" customFormat="false" ht="15" hidden="false" customHeight="false" outlineLevel="0" collapsed="false">
      <c r="B12" s="0" t="s">
        <v>256</v>
      </c>
      <c r="C12" s="40" t="n">
        <v>100</v>
      </c>
      <c r="D12" s="40" t="n">
        <v>100</v>
      </c>
    </row>
    <row r="13" customFormat="false" ht="15" hidden="false" customHeight="false" outlineLevel="0" collapsed="false">
      <c r="B13" s="0" t="s">
        <v>257</v>
      </c>
      <c r="C13" s="38" t="n">
        <v>1</v>
      </c>
      <c r="D13" s="38" t="n">
        <v>1</v>
      </c>
    </row>
    <row r="14" customFormat="false" ht="15" hidden="false" customHeight="false" outlineLevel="0" collapsed="false">
      <c r="B14" s="0" t="s">
        <v>140</v>
      </c>
      <c r="C14" s="38" t="n">
        <v>1.2</v>
      </c>
      <c r="D14" s="38" t="n">
        <v>1.2</v>
      </c>
    </row>
    <row r="15" customFormat="false" ht="15" hidden="false" customHeight="false" outlineLevel="0" collapsed="false">
      <c r="B15" s="0" t="s">
        <v>258</v>
      </c>
      <c r="C15" s="39" t="n">
        <v>0.1</v>
      </c>
      <c r="D15" s="39" t="n">
        <v>0.1</v>
      </c>
    </row>
    <row r="19" customFormat="false" ht="15" hidden="false" customHeight="false" outlineLevel="0" collapsed="false">
      <c r="B19" s="0" t="s">
        <v>259</v>
      </c>
      <c r="C19" s="41" t="n">
        <f aca="false">((1+C6)/(1+C7))*C5-C8</f>
        <v>0.590769230769231</v>
      </c>
      <c r="D19" s="41" t="n">
        <f aca="false">((1+D6)/(1+D7))*D5-D8</f>
        <v>0.590769230769231</v>
      </c>
    </row>
    <row r="20" customFormat="false" ht="15" hidden="false" customHeight="false" outlineLevel="0" collapsed="false">
      <c r="B20" s="0" t="s">
        <v>161</v>
      </c>
      <c r="C20" s="42" t="n">
        <f aca="false">((C6-C7)/(1+C7))*C5</f>
        <v>0.00576923076923077</v>
      </c>
      <c r="D20" s="42" t="n">
        <f aca="false">((D6-D7)/(1+D7))*D5</f>
        <v>0.00576923076923077</v>
      </c>
    </row>
    <row r="21" customFormat="false" ht="15" hidden="false" customHeight="false" outlineLevel="0" collapsed="false">
      <c r="B21" s="0" t="s">
        <v>163</v>
      </c>
      <c r="C21" s="42" t="n">
        <f aca="false">C8-C20</f>
        <v>0.00923076923076923</v>
      </c>
      <c r="D21" s="42" t="n">
        <f aca="false">D8-D20</f>
        <v>0.00923076923076923</v>
      </c>
    </row>
    <row r="22" customFormat="false" ht="15" hidden="false" customHeight="false" outlineLevel="0" collapsed="false">
      <c r="B22" s="0" t="s">
        <v>260</v>
      </c>
      <c r="C22" s="41" t="n">
        <f aca="false">IFERROR(C9/C10,0)</f>
        <v>1.5</v>
      </c>
      <c r="D22" s="41" t="n">
        <f aca="false">IFERROR(D9/D10,0)</f>
        <v>1.5</v>
      </c>
    </row>
    <row r="23" customFormat="false" ht="15" hidden="false" customHeight="false" outlineLevel="0" collapsed="false">
      <c r="B23" s="0" t="s">
        <v>261</v>
      </c>
      <c r="C23" s="42" t="n">
        <f aca="false">IFERROR(C11/C12,0)</f>
        <v>0.2</v>
      </c>
      <c r="D23" s="42" t="n">
        <f aca="false">IFERROR(D11/D12,0)</f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36" t="s">
        <v>262</v>
      </c>
    </row>
    <row r="4" customFormat="false" ht="15" hidden="false" customHeight="false" outlineLevel="0" collapsed="false">
      <c r="B4" s="37" t="s">
        <v>263</v>
      </c>
      <c r="C4" s="37" t="s">
        <v>147</v>
      </c>
      <c r="D4" s="37" t="s">
        <v>44</v>
      </c>
      <c r="E4" s="37" t="s">
        <v>264</v>
      </c>
    </row>
    <row r="5" customFormat="false" ht="15" hidden="false" customHeight="false" outlineLevel="0" collapsed="false">
      <c r="B5" s="0" t="s">
        <v>265</v>
      </c>
      <c r="C5" s="43" t="n">
        <f aca="false">'Revenue Stress'!D19-(((1+'Revenue Stress'!D6)/(1+'Revenue Stress'!D7))*'Revenue Stress'!D5-'Revenue Stress'!D8)</f>
        <v>0</v>
      </c>
      <c r="D5" s="44" t="str">
        <f aca="false">IF(ABS(C5)&lt;0.000001,"PASS","FAIL")</f>
        <v>PASS</v>
      </c>
      <c r="E5" s="14" t="s">
        <v>266</v>
      </c>
    </row>
    <row r="6" customFormat="false" ht="15" hidden="false" customHeight="false" outlineLevel="0" collapsed="false">
      <c r="B6" s="0" t="s">
        <v>267</v>
      </c>
      <c r="C6" s="43" t="n">
        <f aca="false">'Revenue Stress'!D20-((('Revenue Stress'!D6-'Revenue Stress'!D7)/(1+'Revenue Stress'!D7))*'Revenue Stress'!D5)</f>
        <v>0</v>
      </c>
      <c r="D6" s="44" t="str">
        <f aca="false">IF(ABS(C6)&lt;0.000001,"PASS","FAIL")</f>
        <v>PASS</v>
      </c>
      <c r="E6" s="14" t="s">
        <v>268</v>
      </c>
    </row>
    <row r="7" customFormat="false" ht="15" hidden="false" customHeight="false" outlineLevel="0" collapsed="false">
      <c r="B7" s="0" t="s">
        <v>259</v>
      </c>
      <c r="C7" s="43" t="n">
        <f aca="false">'Revenue Stress'!D19</f>
        <v>0.590769230769231</v>
      </c>
      <c r="D7" s="44" t="str">
        <f aca="false">IF(C7&lt;='Revenue Stress'!D13,"PASS","BREACH")</f>
        <v>PASS</v>
      </c>
      <c r="E7" s="14" t="s">
        <v>269</v>
      </c>
    </row>
    <row r="8" customFormat="false" ht="15" hidden="false" customHeight="false" outlineLevel="0" collapsed="false">
      <c r="B8" s="0" t="s">
        <v>163</v>
      </c>
      <c r="C8" s="43" t="n">
        <f aca="false">'Revenue Stress'!D21</f>
        <v>0.00923076923076923</v>
      </c>
      <c r="D8" s="44" t="str">
        <f aca="false">IF(C8&gt;=0,"PASS","BREACH")</f>
        <v>PASS</v>
      </c>
      <c r="E8" s="14" t="s">
        <v>270</v>
      </c>
    </row>
    <row r="9" customFormat="false" ht="15" hidden="false" customHeight="false" outlineLevel="0" collapsed="false">
      <c r="B9" s="0" t="s">
        <v>271</v>
      </c>
      <c r="C9" s="43" t="n">
        <f aca="false">'Revenue Stress'!D22</f>
        <v>1.5</v>
      </c>
      <c r="D9" s="44" t="str">
        <f aca="false">IF(C9&gt;='Revenue Stress'!D14,"PASS","BREACH")</f>
        <v>PASS</v>
      </c>
      <c r="E9" s="14" t="s">
        <v>272</v>
      </c>
    </row>
    <row r="10" customFormat="false" ht="15" hidden="false" customHeight="false" outlineLevel="0" collapsed="false">
      <c r="B10" s="0" t="s">
        <v>261</v>
      </c>
      <c r="C10" s="43" t="n">
        <f aca="false">'Revenue Stress'!D23</f>
        <v>0.2</v>
      </c>
      <c r="D10" s="44" t="str">
        <f aca="false">IF(C10&gt;='Revenue Stress'!D15,"PASS","BREACH")</f>
        <v>PASS</v>
      </c>
      <c r="E10" s="14" t="s">
        <v>273</v>
      </c>
    </row>
    <row r="12" customFormat="false" ht="15" hidden="false" customHeight="false" outlineLevel="0" collapsed="false">
      <c r="B12" s="45" t="s">
        <v>274</v>
      </c>
      <c r="C12" s="46" t="str">
        <f aca="false">IF(COUNTIF(D5:D10,"FAIL")+COUNTIF(D5:D10,"BREACH")&gt;0,"BREACH",IF(COUNTIF(D5:D10,"REVIEW")&gt;0,"REVIEW","PASS"))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2026-08-04T17:27:52Z</dcterms:created>
  <dc:creator>openpyxl</dc:creator>
  <dc:description/>
  <dc:language>en-US</dc:language>
  <cp:lastModifiedBy/>
  <dcterms:modified xsi:type="dcterms:W3CDTF">2026-08-04T17:27:54Z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