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Debt Sustainability" sheetId="6" state="visible" r:id="rId6"/>
    <sheet xmlns:r="http://schemas.openxmlformats.org/officeDocument/2006/relationships" name="Revenue &amp; Expenditure" sheetId="7" state="visible" r:id="rId7"/>
    <sheet xmlns:r="http://schemas.openxmlformats.org/officeDocument/2006/relationships" name="Debt Service" sheetId="8" state="visible" r:id="rId8"/>
    <sheet xmlns:r="http://schemas.openxmlformats.org/officeDocument/2006/relationships" name="Coverage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Revenue Stress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[RED]\(#,##0\);\-"/>
    <numFmt numFmtId="165" formatCode="\$#,##0.0;[RED]&quot;($&quot;#,##0.0\);\-"/>
    <numFmt numFmtId="166" formatCode="0.0%;[RED]\(0.0%\);\-"/>
    <numFmt numFmtId="167" formatCode="0.0\x;[RED]\(0.0&quot;x)&quot;;\-"/>
    <numFmt numFmtId="168" formatCode="0.0"/>
    <numFmt numFmtId="169" formatCode="0.0\x"/>
    <numFmt numFmtId="170" formatCode="0.0%;\(0.0%\);\-"/>
    <numFmt numFmtId="171" formatCode="\$#,##0;&quot;($&quot;#,##0\);\-"/>
    <numFmt numFmtId="172" formatCode="#,##0;\(#,##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111827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4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5" fontId="5" fillId="0" borderId="3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6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9" fontId="6" fillId="6" borderId="4" applyAlignment="1" pivotButton="0" quotePrefix="0" xfId="0">
      <alignment horizontal="general" vertical="bottom"/>
    </xf>
    <xf numFmtId="170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9" fontId="0" fillId="0" borderId="4" applyAlignment="1" pivotButton="0" quotePrefix="0" xfId="0">
      <alignment horizontal="general" vertical="bottom"/>
    </xf>
    <xf numFmtId="170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8" fillId="7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4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5" fontId="5" fillId="0" borderId="3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6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18" fillId="0" borderId="0" pivotButton="0" quotePrefix="0" xfId="0"/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9" fontId="6" fillId="6" borderId="4" applyAlignment="1" pivotButton="0" quotePrefix="0" xfId="0">
      <alignment horizontal="general" vertical="bottom"/>
    </xf>
    <xf numFmtId="169" fontId="18" fillId="7" borderId="4" applyAlignment="1" pivotButton="0" quotePrefix="0" xfId="0">
      <alignment horizontal="general" vertical="bottom"/>
    </xf>
    <xf numFmtId="170" fontId="6" fillId="6" borderId="4" applyAlignment="1" pivotButton="0" quotePrefix="0" xfId="0">
      <alignment horizontal="general" vertical="bottom"/>
    </xf>
    <xf numFmtId="170" fontId="18" fillId="7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9" fontId="0" fillId="0" borderId="4" applyAlignment="1" pivotButton="0" quotePrefix="0" xfId="0">
      <alignment horizontal="general" vertical="bottom"/>
    </xf>
    <xf numFmtId="170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36" customWidth="1" style="45" min="2" max="2"/>
    <col width="46" customWidth="1" style="45" min="3" max="3"/>
    <col width="12" customWidth="1" style="45" min="4" max="6"/>
  </cols>
  <sheetData>
    <row r="2" ht="27.75" customHeight="1" s="46">
      <c r="B2" s="47" t="inlineStr">
        <is>
          <t>[ISSUER] — Public Finance Credit Model</t>
        </is>
      </c>
    </row>
    <row r="4" ht="15" customHeight="1" s="46">
      <c r="B4" s="48" t="inlineStr">
        <is>
          <t>Issuer:</t>
        </is>
      </c>
      <c r="C4" s="49" t="inlineStr">
        <is>
          <t>[Sovereign / state / municipality / authority]</t>
        </is>
      </c>
    </row>
    <row r="5" ht="15" customHeight="1" s="46">
      <c r="B5" s="48" t="inlineStr">
        <is>
          <t>Instrument:</t>
        </is>
      </c>
      <c r="C5" s="49" t="inlineStr">
        <is>
          <t>GO / revenue bond / sovereign note</t>
        </is>
      </c>
    </row>
    <row r="6" ht="15" customHeight="1" s="46">
      <c r="B6" s="48" t="inlineStr">
        <is>
          <t>Last refreshed:</t>
        </is>
      </c>
      <c r="C6" s="50" t="inlineStr">
        <is>
          <t>2023-03-20</t>
        </is>
      </c>
    </row>
    <row r="7" ht="15" customHeight="1" s="46">
      <c r="B7" s="48" t="inlineStr">
        <is>
          <t>Next payment / issuance:</t>
        </is>
      </c>
      <c r="C7" s="49" t="inlineStr">
        <is>
          <t>[date]</t>
        </is>
      </c>
    </row>
    <row r="8" ht="15" customHeight="1" s="46">
      <c r="B8" s="48" t="inlineStr">
        <is>
          <t>Refresh cadence:</t>
        </is>
      </c>
      <c r="C8" s="49" t="inlineStr">
        <is>
          <t>Weekly</t>
        </is>
      </c>
    </row>
    <row r="9" ht="15" customHeight="1" s="46">
      <c r="B9" s="48" t="inlineStr">
        <is>
          <t>Active scenario:</t>
        </is>
      </c>
      <c r="C9" s="50" t="inlineStr">
        <is>
          <t>Downside</t>
        </is>
      </c>
    </row>
    <row r="10" ht="15" customHeight="1" s="46">
      <c r="B10" s="48" t="inlineStr">
        <is>
          <t>Units:</t>
        </is>
      </c>
      <c r="C10" s="49" t="inlineStr">
        <is>
          <t>$ in millions unless noted</t>
        </is>
      </c>
    </row>
    <row r="13" ht="15" customHeight="1" s="46">
      <c r="B13" s="51" t="inlineStr">
        <is>
          <t>Modeling conventions</t>
        </is>
      </c>
    </row>
    <row r="14" ht="15" customHeight="1" s="46">
      <c r="B14" s="52" t="inlineStr">
        <is>
          <t>Blue text / yellow fill</t>
        </is>
      </c>
      <c r="C14" s="53" t="inlineStr">
        <is>
          <t>Hardcoded input or selected scenario</t>
        </is>
      </c>
    </row>
    <row r="15" ht="15" customHeight="1" s="46">
      <c r="B15" s="48" t="inlineStr">
        <is>
          <t>Black text</t>
        </is>
      </c>
      <c r="C15" s="53" t="inlineStr">
        <is>
          <t>Formula / same-sheet calculation</t>
        </is>
      </c>
    </row>
    <row r="16" ht="15" customHeight="1" s="46">
      <c r="B16" s="54" t="inlineStr">
        <is>
          <t>Green text</t>
        </is>
      </c>
      <c r="C16" s="53" t="inlineStr">
        <is>
          <t>Cross-sheet formula / link</t>
        </is>
      </c>
    </row>
    <row r="17" ht="15" customHeight="1" s="46">
      <c r="B17" s="48" t="inlineStr">
        <is>
          <t>Checks</t>
        </is>
      </c>
      <c r="C17" s="53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5" min="2" max="2"/>
    <col width="48" customWidth="1" style="45" min="3" max="3"/>
    <col width="24" customWidth="1" style="45" min="4" max="4"/>
    <col width="34" customWidth="1" style="45" min="5" max="5"/>
    <col width="20" customWidth="1" style="45" min="6" max="6"/>
  </cols>
  <sheetData>
    <row r="2" ht="18.55" customHeight="1" s="46">
      <c r="B2" s="55" t="inlineStr">
        <is>
          <t>Public Finance — Institutional Decision Surface</t>
        </is>
      </c>
    </row>
    <row r="4" ht="15" customHeight="1" s="46">
      <c r="B4" s="56" t="inlineStr">
        <is>
          <t>Model ID</t>
        </is>
      </c>
      <c r="C4" s="57" t="inlineStr">
        <is>
          <t>07</t>
        </is>
      </c>
    </row>
    <row r="5" ht="15" customHeight="1" s="46">
      <c r="B5" s="56" t="inlineStr">
        <is>
          <t>Domain</t>
        </is>
      </c>
      <c r="C5" s="57" t="inlineStr">
        <is>
          <t>Public Finance</t>
        </is>
      </c>
    </row>
    <row r="6" ht="15" customHeight="1" s="46">
      <c r="B6" s="56" t="inlineStr">
        <is>
          <t>Declared maturity</t>
        </is>
      </c>
      <c r="C6" s="57" t="inlineStr">
        <is>
          <t>M2</t>
        </is>
      </c>
    </row>
    <row r="7" ht="15" customHeight="1" s="46">
      <c r="B7" s="56" t="inlineStr">
        <is>
          <t>Canonical builder</t>
        </is>
      </c>
      <c r="C7" s="57" t="inlineStr">
        <is>
          <t>tools/builders/build_public_finance_release.py</t>
        </is>
      </c>
    </row>
    <row r="8" ht="15" customHeight="1" s="46">
      <c r="B8" s="56" t="inlineStr">
        <is>
          <t>Decision arena</t>
        </is>
      </c>
      <c r="C8" s="57" t="inlineStr">
        <is>
          <t>debt management office, budget office, governing body, investors and rating agencies</t>
        </is>
      </c>
    </row>
    <row r="9" ht="15" customHeight="1" s="46">
      <c r="B9" s="56" t="inlineStr">
        <is>
          <t>Committee artifact</t>
        </is>
      </c>
      <c r="C9" s="57" t="inlineStr">
        <is>
          <t>debt-affordability and authorization package</t>
        </is>
      </c>
    </row>
    <row r="10" ht="15" customHeight="1" s="46">
      <c r="B10" s="56" t="inlineStr">
        <is>
          <t>Operating cadence</t>
        </is>
      </c>
      <c r="C10" s="57" t="inlineStr">
        <is>
          <t>monthly budget; quarterly debt; annual DSA</t>
        </is>
      </c>
    </row>
    <row r="12" ht="15" customHeight="1" s="46">
      <c r="B12" s="58" t="inlineStr">
        <is>
          <t>Key decision outputs</t>
        </is>
      </c>
    </row>
    <row r="13" ht="15" customHeight="1" s="46">
      <c r="B13" s="59" t="inlineStr">
        <is>
          <t>#</t>
        </is>
      </c>
      <c r="C13" s="59" t="inlineStr">
        <is>
          <t>Requirement</t>
        </is>
      </c>
      <c r="D13" s="59" t="inlineStr">
        <is>
          <t>Owner</t>
        </is>
      </c>
      <c r="E13" s="59" t="inlineStr">
        <is>
          <t>Evidence / location</t>
        </is>
      </c>
      <c r="F13" s="59" t="inlineStr">
        <is>
          <t>Status</t>
        </is>
      </c>
    </row>
    <row r="14" ht="15" customHeight="1" s="46">
      <c r="B14" s="45" t="n">
        <v>1</v>
      </c>
      <c r="C14" s="45" t="inlineStr">
        <is>
          <t>debt-to-revenue / GDP path</t>
        </is>
      </c>
      <c r="F14" s="45" t="inlineStr">
        <is>
          <t>OPEN</t>
        </is>
      </c>
    </row>
    <row r="15" ht="15" customHeight="1" s="46">
      <c r="B15" s="45" t="n">
        <v>2</v>
      </c>
      <c r="C15" s="45" t="inlineStr">
        <is>
          <t>primary balance and debt-stabilizing balance</t>
        </is>
      </c>
      <c r="F15" s="45" t="inlineStr">
        <is>
          <t>OPEN</t>
        </is>
      </c>
    </row>
    <row r="16" ht="15" customHeight="1" s="46">
      <c r="B16" s="45" t="n">
        <v>3</v>
      </c>
      <c r="C16" s="45" t="inlineStr">
        <is>
          <t>debt service coverage and reserves</t>
        </is>
      </c>
      <c r="F16" s="45" t="inlineStr">
        <is>
          <t>OPEN</t>
        </is>
      </c>
    </row>
    <row r="17" ht="15" customHeight="1" s="46">
      <c r="B17" s="45" t="n">
        <v>4</v>
      </c>
      <c r="C17" s="45" t="inlineStr">
        <is>
          <t>base, downside and break-even outputs</t>
        </is>
      </c>
      <c r="F17" s="45" t="inlineStr">
        <is>
          <t>OPEN</t>
        </is>
      </c>
    </row>
    <row r="18" ht="15" customHeight="1" s="46">
      <c r="B18" s="45" t="n">
        <v>5</v>
      </c>
      <c r="C18" s="45" t="inlineStr">
        <is>
          <t>liquidity / funding requirement and binding constraint</t>
        </is>
      </c>
      <c r="F18" s="45" t="inlineStr">
        <is>
          <t>OPEN</t>
        </is>
      </c>
    </row>
    <row r="20" ht="15" customHeight="1" s="46">
      <c r="B20" s="58" t="inlineStr">
        <is>
          <t>Insider questions</t>
        </is>
      </c>
    </row>
    <row r="21" ht="15" customHeight="1" s="46">
      <c r="B21" s="59" t="inlineStr">
        <is>
          <t>#</t>
        </is>
      </c>
      <c r="C21" s="59" t="inlineStr">
        <is>
          <t>Requirement</t>
        </is>
      </c>
      <c r="D21" s="59" t="inlineStr">
        <is>
          <t>Owner</t>
        </is>
      </c>
      <c r="E21" s="59" t="inlineStr">
        <is>
          <t>Evidence / location</t>
        </is>
      </c>
      <c r="F21" s="59" t="inlineStr">
        <is>
          <t>Status</t>
        </is>
      </c>
    </row>
    <row r="22" ht="15" customHeight="1" s="46">
      <c r="B22" s="45" t="n">
        <v>1</v>
      </c>
      <c r="C22" s="45" t="inlineStr">
        <is>
          <t>What revenues are legally pledged?</t>
        </is>
      </c>
      <c r="F22" s="45" t="inlineStr">
        <is>
          <t>OPEN</t>
        </is>
      </c>
    </row>
    <row r="23" ht="15" customHeight="1" s="46">
      <c r="B23" s="45" t="n">
        <v>2</v>
      </c>
      <c r="C23" s="45" t="inlineStr">
        <is>
          <t>Which reserves are actually spendable?</t>
        </is>
      </c>
      <c r="F23" s="45" t="inlineStr">
        <is>
          <t>OPEN</t>
        </is>
      </c>
    </row>
    <row r="24" ht="15" customHeight="1" s="46">
      <c r="B24" s="45" t="n">
        <v>3</v>
      </c>
      <c r="C24" s="45" t="inlineStr">
        <is>
          <t>What is the refinancing share over the next three years?</t>
        </is>
      </c>
      <c r="F24" s="45" t="inlineStr">
        <is>
          <t>OPEN</t>
        </is>
      </c>
    </row>
    <row r="25" ht="15" customHeight="1" s="46">
      <c r="B25" s="45" t="n">
        <v>4</v>
      </c>
      <c r="C25" s="45" t="inlineStr">
        <is>
          <t>Which assumption is owner-approved versus modeler judgement?</t>
        </is>
      </c>
      <c r="F25" s="45" t="inlineStr">
        <is>
          <t>OPEN</t>
        </is>
      </c>
    </row>
    <row r="26" ht="15" customHeight="1" s="46">
      <c r="B26" s="45" t="n">
        <v>5</v>
      </c>
      <c r="C26" s="45" t="inlineStr">
        <is>
          <t>What fails first and who must act?</t>
        </is>
      </c>
      <c r="F26" s="45" t="inlineStr">
        <is>
          <t>OPEN</t>
        </is>
      </c>
    </row>
    <row r="28" ht="15" customHeight="1" s="46">
      <c r="B28" s="58" t="inlineStr">
        <is>
          <t>Scenario families</t>
        </is>
      </c>
    </row>
    <row r="29" ht="15" customHeight="1" s="46">
      <c r="B29" s="59" t="inlineStr">
        <is>
          <t>#</t>
        </is>
      </c>
      <c r="C29" s="59" t="inlineStr">
        <is>
          <t>Requirement</t>
        </is>
      </c>
      <c r="D29" s="59" t="inlineStr">
        <is>
          <t>Owner</t>
        </is>
      </c>
      <c r="E29" s="59" t="inlineStr">
        <is>
          <t>Evidence / location</t>
        </is>
      </c>
      <c r="F29" s="59" t="inlineStr">
        <is>
          <t>Status</t>
        </is>
      </c>
    </row>
    <row r="30" ht="15" customHeight="1" s="46">
      <c r="B30" s="45" t="n">
        <v>1</v>
      </c>
      <c r="C30" s="45" t="inlineStr">
        <is>
          <t>growth and revenue shock</t>
        </is>
      </c>
      <c r="F30" s="45" t="inlineStr">
        <is>
          <t>OPEN</t>
        </is>
      </c>
    </row>
    <row r="31" ht="15" customHeight="1" s="46">
      <c r="B31" s="45" t="n">
        <v>2</v>
      </c>
      <c r="C31" s="45" t="inlineStr">
        <is>
          <t>rate / FX shock</t>
        </is>
      </c>
      <c r="F31" s="45" t="inlineStr">
        <is>
          <t>OPEN</t>
        </is>
      </c>
    </row>
    <row r="32" ht="15" customHeight="1" s="46">
      <c r="B32" s="45" t="n">
        <v>3</v>
      </c>
      <c r="C32" s="45" t="inlineStr">
        <is>
          <t>primary-balance slippage</t>
        </is>
      </c>
      <c r="F32" s="45" t="inlineStr">
        <is>
          <t>OPEN</t>
        </is>
      </c>
    </row>
    <row r="33" ht="15" customHeight="1" s="46">
      <c r="B33" s="45" t="n">
        <v>4</v>
      </c>
      <c r="C33" s="45" t="inlineStr">
        <is>
          <t>data freshness / source failure</t>
        </is>
      </c>
      <c r="F33" s="45" t="inlineStr">
        <is>
          <t>OPEN</t>
        </is>
      </c>
    </row>
    <row r="34" ht="15" customHeight="1" s="46">
      <c r="B34" s="45" t="n">
        <v>5</v>
      </c>
      <c r="C34" s="45" t="inlineStr">
        <is>
          <t>combined severe-but-plausible downside</t>
        </is>
      </c>
      <c r="F34" s="45" t="inlineStr">
        <is>
          <t>OPEN</t>
        </is>
      </c>
    </row>
    <row r="36" ht="15" customHeight="1" s="46">
      <c r="B36" s="58" t="inlineStr">
        <is>
          <t>Primary diligence documents</t>
        </is>
      </c>
    </row>
    <row r="37" ht="15" customHeight="1" s="46">
      <c r="B37" s="59" t="inlineStr">
        <is>
          <t>#</t>
        </is>
      </c>
      <c r="C37" s="59" t="inlineStr">
        <is>
          <t>Requirement</t>
        </is>
      </c>
      <c r="D37" s="59" t="inlineStr">
        <is>
          <t>Owner</t>
        </is>
      </c>
      <c r="E37" s="59" t="inlineStr">
        <is>
          <t>Evidence / location</t>
        </is>
      </c>
      <c r="F37" s="59" t="inlineStr">
        <is>
          <t>Status</t>
        </is>
      </c>
    </row>
    <row r="38" ht="15" customHeight="1" s="46">
      <c r="B38" s="45" t="n">
        <v>1</v>
      </c>
      <c r="C38" s="45" t="inlineStr">
        <is>
          <t>official budget and CAFR/ACFR</t>
        </is>
      </c>
      <c r="F38" s="45" t="inlineStr">
        <is>
          <t>OPEN</t>
        </is>
      </c>
    </row>
    <row r="39" ht="15" customHeight="1" s="46">
      <c r="B39" s="45" t="n">
        <v>2</v>
      </c>
      <c r="C39" s="45" t="inlineStr">
        <is>
          <t>debt policy and authorization</t>
        </is>
      </c>
      <c r="F39" s="45" t="inlineStr">
        <is>
          <t>OPEN</t>
        </is>
      </c>
    </row>
    <row r="40" ht="15" customHeight="1" s="46">
      <c r="B40" s="45" t="n">
        <v>3</v>
      </c>
      <c r="C40" s="45" t="inlineStr">
        <is>
          <t>official statement</t>
        </is>
      </c>
      <c r="F40" s="45" t="inlineStr">
        <is>
          <t>OPEN</t>
        </is>
      </c>
    </row>
    <row r="41" ht="15" customHeight="1" s="46">
      <c r="B41" s="45" t="n">
        <v>4</v>
      </c>
      <c r="C41" s="45" t="inlineStr">
        <is>
          <t>approved model card and assumption register</t>
        </is>
      </c>
      <c r="F41" s="45" t="inlineStr">
        <is>
          <t>OPEN</t>
        </is>
      </c>
    </row>
    <row r="42" ht="15" customHeight="1" s="46">
      <c r="B42" s="45" t="n">
        <v>5</v>
      </c>
      <c r="C42" s="45" t="inlineStr">
        <is>
          <t>independent validation and challenge record</t>
        </is>
      </c>
      <c r="F42" s="45" t="inlineStr">
        <is>
          <t>OPEN</t>
        </is>
      </c>
    </row>
    <row r="44" ht="15" customHeight="1" s="46">
      <c r="B44" s="58" t="inlineStr">
        <is>
          <t>Challenge tests</t>
        </is>
      </c>
    </row>
    <row r="45" ht="15" customHeight="1" s="46">
      <c r="B45" s="59" t="inlineStr">
        <is>
          <t>#</t>
        </is>
      </c>
      <c r="C45" s="59" t="inlineStr">
        <is>
          <t>Requirement</t>
        </is>
      </c>
      <c r="D45" s="59" t="inlineStr">
        <is>
          <t>Owner</t>
        </is>
      </c>
      <c r="E45" s="59" t="inlineStr">
        <is>
          <t>Evidence / location</t>
        </is>
      </c>
      <c r="F45" s="59" t="inlineStr">
        <is>
          <t>Status</t>
        </is>
      </c>
    </row>
    <row r="46" ht="15" customHeight="1" s="46">
      <c r="B46" s="45" t="n">
        <v>1</v>
      </c>
      <c r="C46" s="45" t="inlineStr">
        <is>
          <t>debt dynamics identity</t>
        </is>
      </c>
      <c r="F46" s="45" t="inlineStr">
        <is>
          <t>OPEN</t>
        </is>
      </c>
    </row>
    <row r="47" ht="15" customHeight="1" s="46">
      <c r="B47" s="45" t="n">
        <v>2</v>
      </c>
      <c r="C47" s="45" t="inlineStr">
        <is>
          <t>coverage definition matches pledge</t>
        </is>
      </c>
      <c r="F47" s="45" t="inlineStr">
        <is>
          <t>OPEN</t>
        </is>
      </c>
    </row>
    <row r="48" ht="15" customHeight="1" s="46">
      <c r="B48" s="45" t="n">
        <v>3</v>
      </c>
      <c r="C48" s="45" t="inlineStr">
        <is>
          <t>reserves exclude restricted funds</t>
        </is>
      </c>
      <c r="F48" s="45" t="inlineStr">
        <is>
          <t>OPEN</t>
        </is>
      </c>
    </row>
    <row r="49" ht="15" customHeight="1" s="46">
      <c r="B49" s="45" t="n">
        <v>4</v>
      </c>
      <c r="C49" s="45" t="inlineStr">
        <is>
          <t>source-to-model lineage is reproducible</t>
        </is>
      </c>
      <c r="F49" s="45" t="inlineStr">
        <is>
          <t>OPEN</t>
        </is>
      </c>
    </row>
    <row r="50" ht="15" customHeight="1" s="46">
      <c r="B50" s="45" t="n">
        <v>5</v>
      </c>
      <c r="C50" s="45" t="inlineStr">
        <is>
          <t>units, signs, dates and legal definitions reconcile</t>
        </is>
      </c>
      <c r="F50" s="45" t="inlineStr">
        <is>
          <t>OPEN</t>
        </is>
      </c>
    </row>
    <row r="52" ht="15" customHeight="1" s="46">
      <c r="B52" s="58" t="inlineStr">
        <is>
          <t>Known failure modes</t>
        </is>
      </c>
    </row>
    <row r="53" ht="15" customHeight="1" s="46">
      <c r="B53" s="59" t="inlineStr">
        <is>
          <t>#</t>
        </is>
      </c>
      <c r="C53" s="59" t="inlineStr">
        <is>
          <t>Requirement</t>
        </is>
      </c>
      <c r="D53" s="59" t="inlineStr">
        <is>
          <t>Owner</t>
        </is>
      </c>
      <c r="E53" s="59" t="inlineStr">
        <is>
          <t>Evidence / location</t>
        </is>
      </c>
      <c r="F53" s="59" t="inlineStr">
        <is>
          <t>Status</t>
        </is>
      </c>
    </row>
    <row r="54" ht="15" customHeight="1" s="46">
      <c r="B54" s="45" t="n">
        <v>1</v>
      </c>
      <c r="C54" s="45" t="inlineStr">
        <is>
          <t>mixing cash and accrual bases</t>
        </is>
      </c>
      <c r="F54" s="45" t="inlineStr">
        <is>
          <t>OPEN</t>
        </is>
      </c>
    </row>
    <row r="55" ht="15" customHeight="1" s="46">
      <c r="B55" s="45" t="n">
        <v>2</v>
      </c>
      <c r="C55" s="45" t="inlineStr">
        <is>
          <t>treating one-time transfers as recurring</t>
        </is>
      </c>
      <c r="F55" s="45" t="inlineStr">
        <is>
          <t>OPEN</t>
        </is>
      </c>
    </row>
    <row r="56" ht="15" customHeight="1" s="46">
      <c r="B56" s="45" t="n">
        <v>3</v>
      </c>
      <c r="C56" s="45" t="inlineStr">
        <is>
          <t>ignoring overlapping debt and pensions</t>
        </is>
      </c>
      <c r="F56" s="45" t="inlineStr">
        <is>
          <t>OPEN</t>
        </is>
      </c>
    </row>
    <row r="57" ht="15" customHeight="1" s="46">
      <c r="B57" s="45" t="n">
        <v>4</v>
      </c>
      <c r="C57" s="45" t="inlineStr">
        <is>
          <t>stale vintage presented as current</t>
        </is>
      </c>
      <c r="F57" s="45" t="inlineStr">
        <is>
          <t>OPEN</t>
        </is>
      </c>
    </row>
    <row r="58" ht="15" customHeight="1" s="46">
      <c r="B58" s="45" t="n">
        <v>5</v>
      </c>
      <c r="C58" s="45" t="inlineStr">
        <is>
          <t>decision output disconnected from a binding constraint</t>
        </is>
      </c>
      <c r="F58" s="45" t="inlineStr">
        <is>
          <t>OPEN</t>
        </is>
      </c>
    </row>
    <row r="60" ht="15" customHeight="1" s="46">
      <c r="B60" s="58" t="inlineStr">
        <is>
          <t>Regulatory / methodological anchors</t>
        </is>
      </c>
    </row>
    <row r="61" ht="15" customHeight="1" s="46">
      <c r="B61" s="59" t="inlineStr">
        <is>
          <t>Standard</t>
        </is>
      </c>
      <c r="C61" s="59" t="inlineStr">
        <is>
          <t>Scope</t>
        </is>
      </c>
      <c r="D61" s="59" t="inlineStr">
        <is>
          <t>Source URL</t>
        </is>
      </c>
      <c r="E61" s="59" t="inlineStr">
        <is>
          <t>Applicability</t>
        </is>
      </c>
      <c r="F61" s="59" t="inlineStr">
        <is>
          <t>Review note</t>
        </is>
      </c>
    </row>
    <row r="62" ht="15" customHeight="1" s="46">
      <c r="B62" s="45" t="inlineStr">
        <is>
          <t>Federal Reserve SR 26-2 Model Risk Management</t>
        </is>
      </c>
      <c r="C62" s="45" t="inlineStr">
        <is>
          <t>governance, validation, change control, monitoring</t>
        </is>
      </c>
      <c r="D62" s="45" t="inlineStr">
        <is>
          <t>https://www.federalreserve.gov/supervisionreg/srletters/SR2602.htm</t>
        </is>
      </c>
      <c r="E62" s="45" t="inlineStr">
        <is>
          <t>Map explicitly</t>
        </is>
      </c>
    </row>
    <row r="63" ht="15" customHeight="1" s="46">
      <c r="B63" s="45" t="inlineStr">
        <is>
          <t>IMF Debt Sustainability Analysis</t>
        </is>
      </c>
      <c r="C63" s="45" t="inlineStr">
        <is>
          <t>baseline and debt stress testing</t>
        </is>
      </c>
      <c r="D63" s="45" t="inlineStr">
        <is>
          <t>https://www.imf.org/external/pubs/ft/dsa/index.htm</t>
        </is>
      </c>
      <c r="E63" s="45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5" min="2" max="2"/>
    <col width="22" customWidth="1" style="45" min="3" max="3"/>
    <col width="52" customWidth="1" style="45" min="4" max="4"/>
    <col width="46" customWidth="1" style="45" min="5" max="5"/>
    <col width="36" customWidth="1" style="45" min="6" max="6"/>
    <col width="14" customWidth="1" style="45" min="7" max="7"/>
    <col width="18" customWidth="1" style="45" min="8" max="8"/>
    <col width="14" customWidth="1" style="45" min="9" max="9"/>
  </cols>
  <sheetData>
    <row r="2" ht="18.55" customHeight="1" s="46">
      <c r="B2" s="55" t="inlineStr">
        <is>
          <t>Independent Challenge, Override and Closure Log</t>
        </is>
      </c>
    </row>
    <row r="4" ht="15" customHeight="1" s="46">
      <c r="B4" s="59" t="inlineStr">
        <is>
          <t>Date</t>
        </is>
      </c>
      <c r="C4" s="59" t="inlineStr">
        <is>
          <t>Reviewer</t>
        </is>
      </c>
      <c r="D4" s="59" t="inlineStr">
        <is>
          <t>Challenge</t>
        </is>
      </c>
      <c r="E4" s="59" t="inlineStr">
        <is>
          <t>Owner response</t>
        </is>
      </c>
      <c r="F4" s="59" t="inlineStr">
        <is>
          <t>Evidence</t>
        </is>
      </c>
      <c r="G4" s="59" t="inlineStr">
        <is>
          <t>Impact</t>
        </is>
      </c>
      <c r="H4" s="59" t="inlineStr">
        <is>
          <t>Status</t>
        </is>
      </c>
      <c r="I4" s="59" t="inlineStr">
        <is>
          <t>Closure</t>
        </is>
      </c>
    </row>
    <row r="5" ht="15" customHeight="1" s="46">
      <c r="D5" s="45" t="inlineStr">
        <is>
          <t>debt dynamics identity</t>
        </is>
      </c>
      <c r="H5" s="45" t="inlineStr">
        <is>
          <t>OPEN</t>
        </is>
      </c>
    </row>
    <row r="6" ht="15" customHeight="1" s="46">
      <c r="D6" s="45" t="inlineStr">
        <is>
          <t>coverage definition matches pledge</t>
        </is>
      </c>
      <c r="H6" s="45" t="inlineStr">
        <is>
          <t>OPEN</t>
        </is>
      </c>
    </row>
    <row r="7" ht="15" customHeight="1" s="46">
      <c r="D7" s="45" t="inlineStr">
        <is>
          <t>reserves exclude restricted funds</t>
        </is>
      </c>
      <c r="H7" s="45" t="inlineStr">
        <is>
          <t>OPEN</t>
        </is>
      </c>
    </row>
    <row r="8" ht="15" customHeight="1" s="46">
      <c r="D8" s="45" t="inlineStr">
        <is>
          <t>source-to-model lineage is reproducible</t>
        </is>
      </c>
      <c r="H8" s="45" t="inlineStr">
        <is>
          <t>OPEN</t>
        </is>
      </c>
    </row>
    <row r="9" ht="15" customHeight="1" s="46">
      <c r="D9" s="45" t="inlineStr">
        <is>
          <t>units, signs, dates and legal definitions reconcile</t>
        </is>
      </c>
      <c r="H9" s="45" t="inlineStr">
        <is>
          <t>OPEN</t>
        </is>
      </c>
    </row>
    <row r="10" ht="15" customHeight="1" s="46">
      <c r="H10" s="45" t="n"/>
    </row>
    <row r="11" ht="15" customHeight="1" s="46">
      <c r="H11" s="45" t="n"/>
    </row>
    <row r="12" ht="15" customHeight="1" s="46">
      <c r="H12" s="45" t="n"/>
    </row>
    <row r="13" ht="15" customHeight="1" s="46">
      <c r="H13" s="45" t="n"/>
    </row>
    <row r="14" ht="15" customHeight="1" s="46">
      <c r="H14" s="45" t="n"/>
    </row>
    <row r="15" ht="15" customHeight="1" s="46">
      <c r="H15" s="45" t="n"/>
    </row>
    <row r="16" ht="15" customHeight="1" s="46">
      <c r="H16" s="45" t="n"/>
    </row>
    <row r="17" ht="15" customHeight="1" s="46">
      <c r="H17" s="45" t="n"/>
    </row>
    <row r="18" ht="15" customHeight="1" s="46">
      <c r="H18" s="45" t="n"/>
    </row>
    <row r="19" ht="15" customHeight="1" s="46">
      <c r="H19" s="45" t="n"/>
    </row>
    <row r="20" ht="15" customHeight="1" s="46">
      <c r="H20" s="45" t="n"/>
    </row>
    <row r="21" ht="15" customHeight="1" s="46">
      <c r="H21" s="45" t="n"/>
    </row>
    <row r="22" ht="15" customHeight="1" s="46">
      <c r="H22" s="45" t="n"/>
    </row>
    <row r="23" ht="15" customHeight="1" s="46">
      <c r="H23" s="45" t="n"/>
    </row>
    <row r="24" ht="15" customHeight="1" s="46">
      <c r="H24" s="45" t="n"/>
    </row>
    <row r="25" ht="15" customHeight="1" s="46">
      <c r="H25" s="45" t="n"/>
    </row>
    <row r="26" ht="15" customHeight="1" s="46">
      <c r="H26" s="45" t="n"/>
    </row>
    <row r="27" ht="15" customHeight="1" s="46">
      <c r="H27" s="45" t="n"/>
    </row>
    <row r="28" ht="15" customHeight="1" s="46">
      <c r="H28" s="45" t="n"/>
    </row>
    <row r="29" ht="15" customHeight="1" s="46">
      <c r="H29" s="45" t="n"/>
    </row>
    <row r="30" ht="15" customHeight="1" s="46">
      <c r="H30" s="45" t="n"/>
    </row>
    <row r="31" ht="15" customHeight="1" s="46">
      <c r="H31" s="45" t="n"/>
    </row>
    <row r="32" ht="15" customHeight="1" s="46">
      <c r="H32" s="45" t="n"/>
    </row>
    <row r="33" ht="15" customHeight="1" s="46">
      <c r="H33" s="45" t="n"/>
    </row>
    <row r="34" ht="15" customHeight="1" s="46">
      <c r="H34" s="45" t="n"/>
    </row>
    <row r="35" ht="15" customHeight="1" s="46">
      <c r="H35" s="45" t="n"/>
    </row>
    <row r="36" ht="15" customHeight="1" s="46">
      <c r="H36" s="45" t="n"/>
    </row>
    <row r="37" ht="15" customHeight="1" s="46">
      <c r="H37" s="45" t="n"/>
    </row>
    <row r="38" ht="15" customHeight="1" s="46">
      <c r="H38" s="45" t="n"/>
    </row>
    <row r="39" ht="15" customHeight="1" s="46">
      <c r="H39" s="45" t="n"/>
    </row>
    <row r="40" ht="15" customHeight="1" s="46">
      <c r="H40" s="45" t="n"/>
    </row>
    <row r="41" ht="15" customHeight="1" s="46">
      <c r="H41" s="45" t="n"/>
    </row>
    <row r="42" ht="15" customHeight="1" s="46">
      <c r="H42" s="45" t="n"/>
    </row>
    <row r="43" ht="15" customHeight="1" s="46">
      <c r="H43" s="45" t="n"/>
    </row>
    <row r="44" ht="15" customHeight="1" s="46">
      <c r="H44" s="45" t="n"/>
    </row>
    <row r="45" ht="15" customHeight="1" s="46">
      <c r="H45" s="45" t="n"/>
    </row>
    <row r="46" ht="15" customHeight="1" s="46">
      <c r="H46" s="45" t="n"/>
    </row>
    <row r="47" ht="15" customHeight="1" s="46">
      <c r="H47" s="45" t="n"/>
    </row>
    <row r="48" ht="15" customHeight="1" s="46">
      <c r="H48" s="45" t="n"/>
    </row>
    <row r="49" ht="15" customHeight="1" s="46">
      <c r="H49" s="45" t="n"/>
    </row>
    <row r="50" ht="15" customHeight="1" s="46">
      <c r="H50" s="45" t="n"/>
    </row>
    <row r="51" ht="15" customHeight="1" s="46">
      <c r="H51" s="45" t="n"/>
    </row>
    <row r="52" ht="15" customHeight="1" s="46">
      <c r="H52" s="45" t="n"/>
    </row>
    <row r="53" ht="15" customHeight="1" s="46">
      <c r="H53" s="45" t="n"/>
    </row>
    <row r="54" ht="15" customHeight="1" s="46">
      <c r="H54" s="45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5" min="2" max="2"/>
    <col width="18" customWidth="1" style="45" min="3" max="3"/>
    <col width="42" customWidth="1" style="45" min="4" max="4"/>
    <col width="24" customWidth="1" style="45" min="5" max="5"/>
    <col width="18" customWidth="1" style="45" min="6" max="6"/>
    <col width="22" customWidth="1" style="45" min="7" max="7"/>
    <col width="42" customWidth="1" style="45" min="8" max="8"/>
    <col width="30" customWidth="1" style="45" min="9" max="9"/>
    <col width="15" customWidth="1" style="45" min="10" max="10"/>
  </cols>
  <sheetData>
    <row r="2" ht="18.55" customHeight="1" s="46">
      <c r="B2" s="55" t="inlineStr">
        <is>
          <t>Source, Transformation, Ownership and Refresh Map</t>
        </is>
      </c>
    </row>
    <row r="4" ht="15" customHeight="1" s="46">
      <c r="B4" s="59" t="inlineStr">
        <is>
          <t>Source class</t>
        </is>
      </c>
      <c r="C4" s="59" t="inlineStr">
        <is>
          <t>Cadence</t>
        </is>
      </c>
      <c r="D4" s="59" t="inlineStr">
        <is>
          <t>Control</t>
        </is>
      </c>
      <c r="E4" s="59" t="inlineStr">
        <is>
          <t>System / provider</t>
        </is>
      </c>
      <c r="F4" s="59" t="inlineStr">
        <is>
          <t>As-of</t>
        </is>
      </c>
      <c r="G4" s="59" t="inlineStr">
        <is>
          <t>Owner</t>
        </is>
      </c>
      <c r="H4" s="59" t="inlineStr">
        <is>
          <t>Transform</t>
        </is>
      </c>
      <c r="I4" s="59" t="inlineStr">
        <is>
          <t>Downstream</t>
        </is>
      </c>
      <c r="J4" s="59" t="inlineStr">
        <is>
          <t>Status</t>
        </is>
      </c>
    </row>
    <row r="5" ht="15" customHeight="1" s="46">
      <c r="B5" s="45" t="inlineStr">
        <is>
          <t>budget actuals</t>
        </is>
      </c>
      <c r="C5" s="45" t="inlineStr">
        <is>
          <t>monthly/annual</t>
        </is>
      </c>
      <c r="D5" s="45" t="inlineStr">
        <is>
          <t>fund and government-wide mapping</t>
        </is>
      </c>
      <c r="J5" s="45" t="inlineStr">
        <is>
          <t>TO MAP</t>
        </is>
      </c>
    </row>
    <row r="6" ht="15" customHeight="1" s="46">
      <c r="B6" s="45" t="inlineStr">
        <is>
          <t>debt service</t>
        </is>
      </c>
      <c r="C6" s="45" t="inlineStr">
        <is>
          <t>monthly/annual</t>
        </is>
      </c>
      <c r="D6" s="45" t="inlineStr">
        <is>
          <t>CUSIP and legal-security tie</t>
        </is>
      </c>
      <c r="J6" s="45" t="inlineStr">
        <is>
          <t>TO MAP</t>
        </is>
      </c>
    </row>
    <row r="7" ht="15" customHeight="1" s="46">
      <c r="B7" s="45" t="inlineStr">
        <is>
          <t>model governance evidence</t>
        </is>
      </c>
      <c r="C7" s="45" t="inlineStr">
        <is>
          <t>per release</t>
        </is>
      </c>
      <c r="D7" s="45" t="inlineStr">
        <is>
          <t>version, reviewer, sign-off and change log</t>
        </is>
      </c>
      <c r="J7" s="45" t="inlineStr">
        <is>
          <t>TO MAP</t>
        </is>
      </c>
    </row>
    <row r="8" ht="15" customHeight="1" s="46">
      <c r="B8" s="45" t="inlineStr">
        <is>
          <t>decision-use snapshot</t>
        </is>
      </c>
      <c r="C8" s="45" t="inlineStr">
        <is>
          <t>per decision</t>
        </is>
      </c>
      <c r="D8" s="45" t="inlineStr">
        <is>
          <t>immutable as-of date and source receipt</t>
        </is>
      </c>
      <c r="J8" s="45" t="inlineStr">
        <is>
          <t>TO MAP</t>
        </is>
      </c>
    </row>
    <row r="9" ht="15" customHeight="1" s="46">
      <c r="J9" s="45" t="n"/>
    </row>
    <row r="10" ht="15" customHeight="1" s="46">
      <c r="J10" s="45" t="n"/>
    </row>
    <row r="11" ht="15" customHeight="1" s="46">
      <c r="J11" s="45" t="n"/>
    </row>
    <row r="12" ht="15" customHeight="1" s="46">
      <c r="J12" s="45" t="n"/>
    </row>
    <row r="13" ht="15" customHeight="1" s="46">
      <c r="J13" s="45" t="n"/>
    </row>
    <row r="14" ht="15" customHeight="1" s="46">
      <c r="J14" s="45" t="n"/>
    </row>
    <row r="15" ht="15" customHeight="1" s="46">
      <c r="J15" s="45" t="n"/>
    </row>
    <row r="16" ht="15" customHeight="1" s="46">
      <c r="J16" s="45" t="n"/>
    </row>
    <row r="17" ht="15" customHeight="1" s="46">
      <c r="J17" s="45" t="n"/>
    </row>
    <row r="18" ht="15" customHeight="1" s="46">
      <c r="J18" s="45" t="n"/>
    </row>
    <row r="19" ht="15" customHeight="1" s="46">
      <c r="J19" s="45" t="n"/>
    </row>
    <row r="20" ht="15" customHeight="1" s="46">
      <c r="J20" s="45" t="n"/>
    </row>
    <row r="21" ht="15" customHeight="1" s="46">
      <c r="J21" s="45" t="n"/>
    </row>
    <row r="22" ht="15" customHeight="1" s="46">
      <c r="J22" s="45" t="n"/>
    </row>
    <row r="23" ht="15" customHeight="1" s="46">
      <c r="J23" s="45" t="n"/>
    </row>
    <row r="24" ht="15" customHeight="1" s="46">
      <c r="J24" s="45" t="n"/>
    </row>
    <row r="25" ht="15" customHeight="1" s="46">
      <c r="J25" s="45" t="n"/>
    </row>
    <row r="26" ht="15" customHeight="1" s="46">
      <c r="J26" s="45" t="n"/>
    </row>
    <row r="27" ht="15" customHeight="1" s="46">
      <c r="J27" s="45" t="n"/>
    </row>
    <row r="28" ht="15" customHeight="1" s="46">
      <c r="J28" s="45" t="n"/>
    </row>
    <row r="29" ht="15" customHeight="1" s="46">
      <c r="J29" s="45" t="n"/>
    </row>
    <row r="30" ht="15" customHeight="1" s="46">
      <c r="J30" s="45" t="n"/>
    </row>
    <row r="31" ht="15" customHeight="1" s="46">
      <c r="J31" s="45" t="n"/>
    </row>
    <row r="32" ht="15" customHeight="1" s="46">
      <c r="J32" s="45" t="n"/>
    </row>
    <row r="33" ht="15" customHeight="1" s="46">
      <c r="J33" s="45" t="n"/>
    </row>
    <row r="34" ht="15" customHeight="1" s="46">
      <c r="J34" s="45" t="n"/>
    </row>
    <row r="35" ht="15" customHeight="1" s="46">
      <c r="J35" s="45" t="n"/>
    </row>
    <row r="36" ht="15" customHeight="1" s="46">
      <c r="J36" s="45" t="n"/>
    </row>
    <row r="37" ht="15" customHeight="1" s="46">
      <c r="J37" s="45" t="n"/>
    </row>
    <row r="38" ht="15" customHeight="1" s="46">
      <c r="J38" s="45" t="n"/>
    </row>
    <row r="39" ht="15" customHeight="1" s="46">
      <c r="J39" s="45" t="n"/>
    </row>
    <row r="40" ht="15" customHeight="1" s="46">
      <c r="J40" s="45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5" customWidth="1" style="45" min="3" max="5"/>
    <col width="30" customWidth="1" style="45" min="6" max="6"/>
  </cols>
  <sheetData>
    <row r="2" ht="27.75" customHeight="1" s="46">
      <c r="B2" s="47" t="inlineStr">
        <is>
          <t>Public Finance Assumptions</t>
        </is>
      </c>
    </row>
    <row r="4" ht="15" customHeight="1" s="46">
      <c r="B4" s="60" t="inlineStr">
        <is>
          <t>Assumption</t>
        </is>
      </c>
      <c r="C4" s="60" t="inlineStr">
        <is>
          <t>Base</t>
        </is>
      </c>
      <c r="D4" s="60" t="inlineStr">
        <is>
          <t>Downside</t>
        </is>
      </c>
      <c r="E4" s="60" t="inlineStr">
        <is>
          <t>Active</t>
        </is>
      </c>
      <c r="F4" s="60" t="inlineStr">
        <is>
          <t>Units / note</t>
        </is>
      </c>
    </row>
    <row r="5" ht="15" customHeight="1" s="46">
      <c r="B5" s="45" t="inlineStr">
        <is>
          <t>Population / service base</t>
        </is>
      </c>
      <c r="C5" s="61" t="n">
        <v>1000000</v>
      </c>
      <c r="D5" s="61" t="n">
        <v>950000</v>
      </c>
      <c r="E5" s="62">
        <f>IF(Cover!$C$9="Downside",D5,C5)</f>
        <v/>
      </c>
    </row>
    <row r="6" ht="15" customHeight="1" s="46">
      <c r="B6" s="45" t="inlineStr">
        <is>
          <t>Recurring revenue</t>
        </is>
      </c>
      <c r="C6" s="63" t="n">
        <v>1200</v>
      </c>
      <c r="D6" s="63" t="n">
        <v>1080</v>
      </c>
      <c r="E6" s="64">
        <f>IF(Cover!$C$9="Downside",D6,C6)</f>
        <v/>
      </c>
    </row>
    <row r="7" ht="15" customHeight="1" s="46">
      <c r="B7" s="45" t="inlineStr">
        <is>
          <t>Recurring expenditure</t>
        </is>
      </c>
      <c r="C7" s="63" t="n">
        <v>1050</v>
      </c>
      <c r="D7" s="63" t="n">
        <v>1090</v>
      </c>
      <c r="E7" s="64">
        <f>IF(Cover!$C$9="Downside",D7,C7)</f>
        <v/>
      </c>
    </row>
    <row r="8" ht="15" customHeight="1" s="46">
      <c r="B8" s="45" t="inlineStr">
        <is>
          <t>Capital expenditure</t>
        </is>
      </c>
      <c r="C8" s="63" t="n">
        <v>180</v>
      </c>
      <c r="D8" s="63" t="n">
        <v>220</v>
      </c>
      <c r="E8" s="64">
        <f>IF(Cover!$C$9="Downside",D8,C8)</f>
        <v/>
      </c>
    </row>
    <row r="9" ht="15" customHeight="1" s="46">
      <c r="B9" s="45" t="inlineStr">
        <is>
          <t>Cash &amp; unrestricted reserves</t>
        </is>
      </c>
      <c r="C9" s="63" t="n">
        <v>300</v>
      </c>
      <c r="D9" s="63" t="n">
        <v>220</v>
      </c>
      <c r="E9" s="64">
        <f>IF(Cover!$C$9="Downside",D9,C9)</f>
        <v/>
      </c>
    </row>
    <row r="10" ht="15" customHeight="1" s="46">
      <c r="B10" s="45" t="inlineStr">
        <is>
          <t>Gross debt</t>
        </is>
      </c>
      <c r="C10" s="63" t="n">
        <v>2500</v>
      </c>
      <c r="D10" s="63" t="n">
        <v>2500</v>
      </c>
      <c r="E10" s="64">
        <f>IF(Cover!$C$9="Downside",D10,C10)</f>
        <v/>
      </c>
    </row>
    <row r="11" ht="15" customHeight="1" s="46">
      <c r="B11" s="45" t="inlineStr">
        <is>
          <t>Annual scheduled principal</t>
        </is>
      </c>
      <c r="C11" s="63" t="n">
        <v>125</v>
      </c>
      <c r="D11" s="63" t="n">
        <v>125</v>
      </c>
      <c r="E11" s="64">
        <f>IF(Cover!$C$9="Downside",D11,C11)</f>
        <v/>
      </c>
    </row>
    <row r="12" ht="15" customHeight="1" s="46">
      <c r="B12" s="45" t="inlineStr">
        <is>
          <t>Pledged revenue</t>
        </is>
      </c>
      <c r="C12" s="63" t="n">
        <v>420</v>
      </c>
      <c r="D12" s="63" t="n">
        <v>360</v>
      </c>
      <c r="E12" s="64">
        <f>IF(Cover!$C$9="Downside",D12,C12)</f>
        <v/>
      </c>
    </row>
    <row r="13" ht="15" customHeight="1" s="46">
      <c r="B13" s="45" t="inlineStr">
        <is>
          <t>Intergovernmental transfers</t>
        </is>
      </c>
      <c r="C13" s="63" t="n">
        <v>150</v>
      </c>
      <c r="D13" s="63" t="n">
        <v>120</v>
      </c>
      <c r="E13" s="64">
        <f>IF(Cover!$C$9="Downside",D13,C13)</f>
        <v/>
      </c>
    </row>
    <row r="14" ht="15" customHeight="1" s="46">
      <c r="B14" s="45" t="inlineStr">
        <is>
          <t>Revenue growth</t>
        </is>
      </c>
      <c r="C14" s="65" t="n">
        <v>0.03</v>
      </c>
      <c r="D14" s="65" t="n">
        <v>-0.02</v>
      </c>
      <c r="E14" s="66">
        <f>IF(Cover!$C$9="Downside",D14,C14)</f>
        <v/>
      </c>
    </row>
    <row r="15" ht="15" customHeight="1" s="46">
      <c r="B15" s="45" t="inlineStr">
        <is>
          <t>Expenditure growth</t>
        </is>
      </c>
      <c r="C15" s="65" t="n">
        <v>0.035</v>
      </c>
      <c r="D15" s="65" t="n">
        <v>0.05</v>
      </c>
      <c r="E15" s="66">
        <f>IF(Cover!$C$9="Downside",D15,C15)</f>
        <v/>
      </c>
    </row>
    <row r="16" ht="15" customHeight="1" s="46">
      <c r="B16" s="45" t="inlineStr">
        <is>
          <t>Effective interest rate (r)</t>
        </is>
      </c>
      <c r="C16" s="65" t="n">
        <v>0.045</v>
      </c>
      <c r="D16" s="65" t="n">
        <v>0.06</v>
      </c>
      <c r="E16" s="66">
        <f>IF(Cover!$C$9="Downside",D16,C16)</f>
        <v/>
      </c>
    </row>
    <row r="17" ht="15" customHeight="1" s="46">
      <c r="B17" s="45" t="inlineStr">
        <is>
          <t>Maximum debt / revenue</t>
        </is>
      </c>
      <c r="C17" s="67" t="n">
        <v>2.5</v>
      </c>
      <c r="D17" s="67" t="n">
        <v>2.5</v>
      </c>
      <c r="E17" s="68">
        <f>IF(Cover!$C$9="Downside",D17,C17)</f>
        <v/>
      </c>
    </row>
    <row r="18" ht="15" customHeight="1" s="46">
      <c r="B18" s="45" t="inlineStr">
        <is>
          <t>Minimum DSCR</t>
        </is>
      </c>
      <c r="C18" s="67" t="n">
        <v>1.5</v>
      </c>
      <c r="D18" s="67" t="n">
        <v>1.5</v>
      </c>
      <c r="E18" s="68">
        <f>IF(Cover!$C$9="Downside",D18,C18)</f>
        <v/>
      </c>
    </row>
    <row r="19" ht="15" customHeight="1" s="46">
      <c r="B19" s="45" t="inlineStr">
        <is>
          <t>Minimum days cash</t>
        </is>
      </c>
      <c r="C19" s="69" t="n">
        <v>90</v>
      </c>
      <c r="D19" s="69" t="n">
        <v>90</v>
      </c>
      <c r="E19" s="70">
        <f>IF(Cover!$C$9="Downside",D19,C19)</f>
        <v/>
      </c>
    </row>
    <row r="20" ht="15" customHeight="1" s="46">
      <c r="B20" s="45" t="inlineStr">
        <is>
          <t>Pension / OPEB contribution</t>
        </is>
      </c>
      <c r="C20" s="63" t="n">
        <v>90</v>
      </c>
      <c r="D20" s="63" t="n">
        <v>110</v>
      </c>
      <c r="E20" s="64">
        <f>IF(Cover!$C$9="Downside",D20,C20)</f>
        <v/>
      </c>
    </row>
    <row r="21" ht="15" customHeight="1" s="46">
      <c r="B21" s="45" t="inlineStr">
        <is>
          <t>Nominal revenue-base growth (g)</t>
        </is>
      </c>
      <c r="C21" s="65" t="n">
        <v>0.03</v>
      </c>
      <c r="D21" s="65" t="n">
        <v>0</v>
      </c>
      <c r="E21" s="66">
        <f>IF(Cover!$C$9="Downside",D21,C21)</f>
        <v/>
      </c>
    </row>
    <row r="22" ht="15" customHeight="1" s="46">
      <c r="B22" s="45" t="inlineStr">
        <is>
          <t>Current primary balance</t>
        </is>
      </c>
      <c r="C22" s="65" t="n">
        <v>0.01</v>
      </c>
      <c r="D22" s="65" t="n">
        <v>-0.03</v>
      </c>
      <c r="E22" s="66">
        <f>IF(Cover!$C$9="Downside",D22,C22)</f>
        <v/>
      </c>
    </row>
    <row r="23" ht="15" customHeight="1" s="46">
      <c r="B23" s="45" t="inlineStr">
        <is>
          <t>Debt-service reserve fund</t>
        </is>
      </c>
      <c r="C23" s="63" t="n">
        <v>50</v>
      </c>
      <c r="D23" s="63" t="n">
        <v>40</v>
      </c>
      <c r="E23" s="64">
        <f>IF(Cover!$C$9="Downside",D23,C23)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0" customWidth="1" style="45" min="2" max="2"/>
    <col width="18" customWidth="1" style="45" min="3" max="4"/>
    <col width="16" customWidth="1" style="45" min="5" max="5"/>
    <col width="48" customWidth="1" style="45" min="6" max="6"/>
  </cols>
  <sheetData>
    <row r="2" ht="27.75" customHeight="1" s="46">
      <c r="B2" s="47" t="inlineStr">
        <is>
          <t>Debt Sustainability Analysis</t>
        </is>
      </c>
    </row>
    <row r="4" ht="15" customHeight="1" s="46">
      <c r="B4" s="60" t="inlineStr">
        <is>
          <t>Metric</t>
        </is>
      </c>
      <c r="C4" s="60" t="inlineStr">
        <is>
          <t>Active</t>
        </is>
      </c>
      <c r="D4" s="60" t="inlineStr">
        <is>
          <t>Downside</t>
        </is>
      </c>
      <c r="E4" s="60" t="inlineStr">
        <is>
          <t>Units</t>
        </is>
      </c>
      <c r="F4" s="60" t="inlineStr">
        <is>
          <t>Interpretation</t>
        </is>
      </c>
    </row>
    <row r="5" ht="15" customHeight="1" s="46">
      <c r="B5" s="45" t="inlineStr">
        <is>
          <t>Debt ratio</t>
        </is>
      </c>
      <c r="C5" s="71">
        <f>IFERROR(Assumptions!E10/Assumptions!E6,0)</f>
        <v/>
      </c>
      <c r="D5" s="71">
        <f>IFERROR(Assumptions!D10/Assumptions!D6,0)</f>
        <v/>
      </c>
      <c r="E5" s="45" t="inlineStr">
        <is>
          <t>0.0x;[Red](0.0x);-</t>
        </is>
      </c>
      <c r="F5" s="45" t="inlineStr">
        <is>
          <t>Debt / recurring revenue or GDP proxy</t>
        </is>
      </c>
    </row>
    <row r="6" ht="15" customHeight="1" s="46">
      <c r="B6" s="45" t="inlineStr">
        <is>
          <t>Effective rate (r)</t>
        </is>
      </c>
      <c r="C6" s="72">
        <f>Assumptions!E16</f>
        <v/>
      </c>
      <c r="D6" s="72">
        <f>Assumptions!D16</f>
        <v/>
      </c>
      <c r="E6" s="45" t="inlineStr">
        <is>
          <t>0.0%;[Red](0.0%);-</t>
        </is>
      </c>
      <c r="F6" s="45" t="inlineStr">
        <is>
          <t>Weighted effective debt cost</t>
        </is>
      </c>
    </row>
    <row r="7" ht="15" customHeight="1" s="46">
      <c r="B7" s="45" t="inlineStr">
        <is>
          <t>Nominal growth (g)</t>
        </is>
      </c>
      <c r="C7" s="72">
        <f>Assumptions!E21</f>
        <v/>
      </c>
      <c r="D7" s="72">
        <f>Assumptions!D21</f>
        <v/>
      </c>
      <c r="E7" s="45" t="inlineStr">
        <is>
          <t>0.0%;[Red](0.0%);-</t>
        </is>
      </c>
      <c r="F7" s="45" t="inlineStr">
        <is>
          <t>Nominal revenue-base growth</t>
        </is>
      </c>
    </row>
    <row r="8" ht="15" customHeight="1" s="46">
      <c r="B8" s="45" t="inlineStr">
        <is>
          <t>r - g</t>
        </is>
      </c>
      <c r="C8" s="72">
        <f>C6-C7</f>
        <v/>
      </c>
      <c r="D8" s="72">
        <f>D6-D7</f>
        <v/>
      </c>
      <c r="E8" s="45" t="inlineStr">
        <is>
          <t>0.0%;[Red](0.0%);-</t>
        </is>
      </c>
      <c r="F8" s="45" t="inlineStr">
        <is>
          <t>Positive differential raises stabilization burden</t>
        </is>
      </c>
    </row>
    <row r="9" ht="15" customHeight="1" s="46">
      <c r="B9" s="45" t="inlineStr">
        <is>
          <t>Current primary balance</t>
        </is>
      </c>
      <c r="C9" s="72">
        <f>Assumptions!E22</f>
        <v/>
      </c>
      <c r="D9" s="72">
        <f>Assumptions!D22</f>
        <v/>
      </c>
      <c r="E9" s="45" t="inlineStr">
        <is>
          <t>0.0%;[Red](0.0%);-</t>
        </is>
      </c>
      <c r="F9" s="45" t="inlineStr">
        <is>
          <t>Surplus positive</t>
        </is>
      </c>
    </row>
    <row r="10" ht="15" customHeight="1" s="46">
      <c r="B10" s="45" t="inlineStr">
        <is>
          <t>Debt-stabilizing primary balance</t>
        </is>
      </c>
      <c r="C10" s="72">
        <f>IFERROR((C6-C7)/(1+C7)*C5,0)</f>
        <v/>
      </c>
      <c r="D10" s="72">
        <f>IFERROR((D6-D7)/(1+D7)*D5,0)</f>
        <v/>
      </c>
      <c r="E10" s="45" t="inlineStr">
        <is>
          <t>0.0%;[Red](0.0%);-</t>
        </is>
      </c>
      <c r="F10" s="45" t="inlineStr">
        <is>
          <t>Required balance to stabilize debt ratio</t>
        </is>
      </c>
    </row>
    <row r="11" ht="15" customHeight="1" s="46">
      <c r="B11" s="45" t="inlineStr">
        <is>
          <t>Primary-balance gap</t>
        </is>
      </c>
      <c r="C11" s="72">
        <f>C9-C10</f>
        <v/>
      </c>
      <c r="D11" s="72">
        <f>D9-D10</f>
        <v/>
      </c>
      <c r="E11" s="45" t="inlineStr">
        <is>
          <t>0.0%;[Red](0.0%);-</t>
        </is>
      </c>
      <c r="F11" s="45" t="inlineStr">
        <is>
          <t>Positive is stronger than stabilizing</t>
        </is>
      </c>
    </row>
    <row r="12" ht="15" customHeight="1" s="46">
      <c r="B12" s="45" t="inlineStr">
        <is>
          <t>One-year projected debt ratio</t>
        </is>
      </c>
      <c r="C12" s="71">
        <f>IFERROR((1+C6)/(1+C7)*C5-C9,0)</f>
        <v/>
      </c>
      <c r="D12" s="71">
        <f>IFERROR((1+D6)/(1+D7)*D5-D9,0)</f>
        <v/>
      </c>
      <c r="E12" s="45" t="inlineStr">
        <is>
          <t>0.0x;[Red](0.0x);-</t>
        </is>
      </c>
      <c r="F12" s="45" t="inlineStr">
        <is>
          <t>Standard debt-dynamics identity</t>
        </is>
      </c>
    </row>
    <row r="13" ht="15" customHeight="1" s="46">
      <c r="B13" s="45" t="inlineStr">
        <is>
          <t>Trajectory</t>
        </is>
      </c>
      <c r="C13" s="45">
        <f>IF(C12&lt;=C5,"STABILIZING / FALLING","RISING")</f>
        <v/>
      </c>
      <c r="D13" s="45">
        <f>IF(D12&lt;=D5,"STABILIZING / FALLING","RISING")</f>
        <v/>
      </c>
      <c r="E13" s="45" t="inlineStr">
        <is>
          <t>status</t>
        </is>
      </c>
      <c r="F13" s="45" t="inlineStr">
        <is>
          <t>Screen excludes stock-flow adjustments</t>
        </is>
      </c>
    </row>
  </sheetData>
  <mergeCells count="1">
    <mergeCell ref="B2:F2"/>
  </mergeCells>
  <conditionalFormatting sqref="C13:D13">
    <cfRule type="expression" rank="0" priority="2" equalAverage="0" aboveAverage="0" dxfId="0" text="" percent="0" bottom="0">
      <formula>C13="STABILIZING / FALLING"</formula>
    </cfRule>
    <cfRule type="expression" rank="0" priority="3" equalAverage="0" aboveAverage="0" dxfId="1" text="" percent="0" bottom="0">
      <formula>C13="RISING"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0" customWidth="1" style="45" min="2" max="2"/>
    <col width="13" customWidth="1" style="45" min="3" max="8"/>
  </cols>
  <sheetData>
    <row r="2" ht="27.75" customHeight="1" s="46">
      <c r="B2" s="47" t="inlineStr">
        <is>
          <t>Operating Forecast</t>
        </is>
      </c>
    </row>
    <row r="4" ht="15" customHeight="1" s="46">
      <c r="B4" s="60" t="inlineStr">
        <is>
          <t>$mm</t>
        </is>
      </c>
      <c r="C4" s="60" t="inlineStr">
        <is>
          <t>Current</t>
        </is>
      </c>
      <c r="D4" s="60" t="inlineStr">
        <is>
          <t>Year 1</t>
        </is>
      </c>
      <c r="E4" s="60" t="inlineStr">
        <is>
          <t>Year 2</t>
        </is>
      </c>
      <c r="F4" s="60" t="inlineStr">
        <is>
          <t>Year 3</t>
        </is>
      </c>
      <c r="G4" s="60" t="inlineStr">
        <is>
          <t>Year 4</t>
        </is>
      </c>
      <c r="H4" s="60" t="inlineStr">
        <is>
          <t>Year 5</t>
        </is>
      </c>
    </row>
    <row r="5" ht="15" customHeight="1" s="46">
      <c r="B5" s="45" t="inlineStr">
        <is>
          <t>Recurring revenue</t>
        </is>
      </c>
      <c r="C5" s="64">
        <f>Assumptions!E6</f>
        <v/>
      </c>
      <c r="D5" s="73">
        <f>C5*(1+Assumptions!$E$14)</f>
        <v/>
      </c>
      <c r="E5" s="73">
        <f>D5*(1+Assumptions!$E$14)</f>
        <v/>
      </c>
      <c r="F5" s="73">
        <f>E5*(1+Assumptions!$E$14)</f>
        <v/>
      </c>
      <c r="G5" s="73">
        <f>F5*(1+Assumptions!$E$14)</f>
        <v/>
      </c>
      <c r="H5" s="73">
        <f>G5*(1+Assumptions!$E$14)</f>
        <v/>
      </c>
    </row>
    <row r="6" ht="15" customHeight="1" s="46">
      <c r="B6" s="45" t="inlineStr">
        <is>
          <t>Revenue growth</t>
        </is>
      </c>
      <c r="D6" s="72">
        <f>IFERROR(D5/C5-1,0)</f>
        <v/>
      </c>
      <c r="E6" s="72">
        <f>IFERROR(E5/D5-1,0)</f>
        <v/>
      </c>
      <c r="F6" s="72">
        <f>IFERROR(F5/E5-1,0)</f>
        <v/>
      </c>
      <c r="G6" s="72">
        <f>IFERROR(G5/F5-1,0)</f>
        <v/>
      </c>
      <c r="H6" s="72">
        <f>IFERROR(H5/G5-1,0)</f>
        <v/>
      </c>
    </row>
    <row r="7" ht="15" customHeight="1" s="46">
      <c r="B7" s="45" t="inlineStr">
        <is>
          <t>Recurring expenditure</t>
        </is>
      </c>
      <c r="C7" s="64">
        <f>Assumptions!E7</f>
        <v/>
      </c>
      <c r="D7" s="73">
        <f>C7*(1+Assumptions!$E$15)</f>
        <v/>
      </c>
      <c r="E7" s="73">
        <f>D7*(1+Assumptions!$E$15)</f>
        <v/>
      </c>
      <c r="F7" s="73">
        <f>E7*(1+Assumptions!$E$15)</f>
        <v/>
      </c>
      <c r="G7" s="73">
        <f>F7*(1+Assumptions!$E$15)</f>
        <v/>
      </c>
      <c r="H7" s="73">
        <f>G7*(1+Assumptions!$E$15)</f>
        <v/>
      </c>
    </row>
    <row r="8" ht="15" customHeight="1" s="46">
      <c r="B8" s="45" t="inlineStr">
        <is>
          <t>Expenditure growth</t>
        </is>
      </c>
      <c r="D8" s="72">
        <f>IFERROR(D7/C7-1,0)</f>
        <v/>
      </c>
      <c r="E8" s="72">
        <f>IFERROR(E7/D7-1,0)</f>
        <v/>
      </c>
      <c r="F8" s="72">
        <f>IFERROR(F7/E7-1,0)</f>
        <v/>
      </c>
      <c r="G8" s="72">
        <f>IFERROR(G7/F7-1,0)</f>
        <v/>
      </c>
      <c r="H8" s="72">
        <f>IFERROR(H7/G7-1,0)</f>
        <v/>
      </c>
    </row>
    <row r="9" ht="15" customHeight="1" s="46">
      <c r="B9" s="74" t="inlineStr">
        <is>
          <t>Operating surplus</t>
        </is>
      </c>
      <c r="C9" s="75">
        <f>C5-C7</f>
        <v/>
      </c>
      <c r="D9" s="75">
        <f>D5-D7</f>
        <v/>
      </c>
      <c r="E9" s="75">
        <f>E5-E7</f>
        <v/>
      </c>
      <c r="F9" s="75">
        <f>F5-F7</f>
        <v/>
      </c>
      <c r="G9" s="75">
        <f>G5-G7</f>
        <v/>
      </c>
      <c r="H9" s="75">
        <f>H5-H7</f>
        <v/>
      </c>
    </row>
    <row r="10" ht="15" customHeight="1" s="46">
      <c r="B10" s="45" t="inlineStr">
        <is>
          <t>Operating margin</t>
        </is>
      </c>
      <c r="C10" s="72">
        <f>IFERROR(C9/C5,0)</f>
        <v/>
      </c>
      <c r="D10" s="72">
        <f>IFERROR(D9/D5,0)</f>
        <v/>
      </c>
      <c r="E10" s="72">
        <f>IFERROR(E9/E5,0)</f>
        <v/>
      </c>
      <c r="F10" s="72">
        <f>IFERROR(F9/F5,0)</f>
        <v/>
      </c>
      <c r="G10" s="72">
        <f>IFERROR(G9/G5,0)</f>
        <v/>
      </c>
      <c r="H10" s="72">
        <f>IFERROR(H9/H5,0)</f>
        <v/>
      </c>
    </row>
    <row r="11" ht="15" customHeight="1" s="46">
      <c r="B11" s="45" t="inlineStr">
        <is>
          <t>Pension / OPEB contribution</t>
        </is>
      </c>
      <c r="C11" s="64">
        <f>Assumptions!E20</f>
        <v/>
      </c>
      <c r="D11" s="73">
        <f>Assumptions!$E$20</f>
        <v/>
      </c>
      <c r="E11" s="73">
        <f>Assumptions!$E$20</f>
        <v/>
      </c>
      <c r="F11" s="73">
        <f>Assumptions!$E$20</f>
        <v/>
      </c>
      <c r="G11" s="73">
        <f>Assumptions!$E$20</f>
        <v/>
      </c>
      <c r="H11" s="73">
        <f>Assumptions!$E$20</f>
        <v/>
      </c>
    </row>
    <row r="12" ht="15" customHeight="1" s="46">
      <c r="B12" s="74" t="inlineStr">
        <is>
          <t>Net operating result</t>
        </is>
      </c>
      <c r="C12" s="75">
        <f>C9-C11</f>
        <v/>
      </c>
      <c r="D12" s="75">
        <f>D9-D11</f>
        <v/>
      </c>
      <c r="E12" s="75">
        <f>E9-E11</f>
        <v/>
      </c>
      <c r="F12" s="75">
        <f>F9-F11</f>
        <v/>
      </c>
      <c r="G12" s="75">
        <f>G9-G11</f>
        <v/>
      </c>
      <c r="H12" s="75">
        <f>H9-H11</f>
        <v/>
      </c>
    </row>
    <row r="13" ht="15" customHeight="1" s="46">
      <c r="B13" s="45" t="inlineStr">
        <is>
          <t>Capital expenditure</t>
        </is>
      </c>
      <c r="C13" s="64">
        <f>Assumptions!E8</f>
        <v/>
      </c>
      <c r="D13" s="73">
        <f>Assumptions!$E$8</f>
        <v/>
      </c>
      <c r="E13" s="73">
        <f>Assumptions!$E$8</f>
        <v/>
      </c>
      <c r="F13" s="73">
        <f>Assumptions!$E$8</f>
        <v/>
      </c>
      <c r="G13" s="73">
        <f>Assumptions!$E$8</f>
        <v/>
      </c>
      <c r="H13" s="73">
        <f>Assumptions!$E$8</f>
        <v/>
      </c>
    </row>
    <row r="14" ht="15" customHeight="1" s="46">
      <c r="B14" s="74" t="inlineStr">
        <is>
          <t>FCF before debt service</t>
        </is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5">
        <f>G12-G13</f>
        <v/>
      </c>
      <c r="H14" s="75">
        <f>H12-H13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3" customWidth="1" style="45" min="3" max="7"/>
  </cols>
  <sheetData>
    <row r="2" ht="27.75" customHeight="1" s="46">
      <c r="B2" s="47" t="inlineStr">
        <is>
          <t>Debt Service, Borrowing &amp; Reserves</t>
        </is>
      </c>
    </row>
    <row r="4" ht="15" customHeight="1" s="46">
      <c r="B4" s="60" t="inlineStr">
        <is>
          <t>$mm</t>
        </is>
      </c>
      <c r="C4" s="60" t="inlineStr">
        <is>
          <t>Year 1</t>
        </is>
      </c>
      <c r="D4" s="60" t="inlineStr">
        <is>
          <t>Year 2</t>
        </is>
      </c>
      <c r="E4" s="60" t="inlineStr">
        <is>
          <t>Year 3</t>
        </is>
      </c>
      <c r="F4" s="60" t="inlineStr">
        <is>
          <t>Year 4</t>
        </is>
      </c>
      <c r="G4" s="60" t="inlineStr">
        <is>
          <t>Year 5</t>
        </is>
      </c>
    </row>
    <row r="5" ht="15" customHeight="1" s="46">
      <c r="B5" s="45" t="inlineStr">
        <is>
          <t>Beginning debt</t>
        </is>
      </c>
      <c r="C5" s="73">
        <f>Assumptions!E10</f>
        <v/>
      </c>
      <c r="D5" s="73">
        <f>C11</f>
        <v/>
      </c>
      <c r="E5" s="73">
        <f>D11</f>
        <v/>
      </c>
      <c r="F5" s="73">
        <f>E11</f>
        <v/>
      </c>
      <c r="G5" s="73">
        <f>F11</f>
        <v/>
      </c>
    </row>
    <row r="6" ht="15" customHeight="1" s="46">
      <c r="B6" s="45" t="inlineStr">
        <is>
          <t>Scheduled principal</t>
        </is>
      </c>
      <c r="C6" s="73">
        <f>MIN(C5,Assumptions!$E$11)</f>
        <v/>
      </c>
      <c r="D6" s="73">
        <f>MIN(D5,Assumptions!$E$11)</f>
        <v/>
      </c>
      <c r="E6" s="73">
        <f>MIN(E5,Assumptions!$E$11)</f>
        <v/>
      </c>
      <c r="F6" s="73">
        <f>MIN(F5,Assumptions!$E$11)</f>
        <v/>
      </c>
      <c r="G6" s="73">
        <f>MIN(G5,Assumptions!$E$11)</f>
        <v/>
      </c>
    </row>
    <row r="7" ht="15" customHeight="1" s="46">
      <c r="B7" s="45" t="inlineStr">
        <is>
          <t>Cash interest</t>
        </is>
      </c>
      <c r="C7" s="73">
        <f>C5*Assumptions!$E$16</f>
        <v/>
      </c>
      <c r="D7" s="73">
        <f>D5*Assumptions!$E$16</f>
        <v/>
      </c>
      <c r="E7" s="73">
        <f>E5*Assumptions!$E$16</f>
        <v/>
      </c>
      <c r="F7" s="73">
        <f>F5*Assumptions!$E$16</f>
        <v/>
      </c>
      <c r="G7" s="73">
        <f>G5*Assumptions!$E$16</f>
        <v/>
      </c>
    </row>
    <row r="8" ht="15" customHeight="1" s="46">
      <c r="B8" s="74" t="inlineStr">
        <is>
          <t>Total debt service</t>
        </is>
      </c>
      <c r="C8" s="75">
        <f>C6+C7</f>
        <v/>
      </c>
      <c r="D8" s="75">
        <f>D6+D7</f>
        <v/>
      </c>
      <c r="E8" s="75">
        <f>E6+E7</f>
        <v/>
      </c>
      <c r="F8" s="75">
        <f>F6+F7</f>
        <v/>
      </c>
      <c r="G8" s="75">
        <f>G6+G7</f>
        <v/>
      </c>
    </row>
    <row r="9" ht="15" customHeight="1" s="46">
      <c r="B9" s="45" t="inlineStr">
        <is>
          <t>FCF before debt service</t>
        </is>
      </c>
      <c r="C9" s="73">
        <f>'Revenue &amp; Expenditure'!D14</f>
        <v/>
      </c>
      <c r="D9" s="73">
        <f>'Revenue &amp; Expenditure'!E14</f>
        <v/>
      </c>
      <c r="E9" s="73">
        <f>'Revenue &amp; Expenditure'!F14</f>
        <v/>
      </c>
      <c r="F9" s="73">
        <f>'Revenue &amp; Expenditure'!G14</f>
        <v/>
      </c>
      <c r="G9" s="73">
        <f>'Revenue &amp; Expenditure'!H14</f>
        <v/>
      </c>
    </row>
    <row r="10" ht="15" customHeight="1" s="46">
      <c r="B10" s="45" t="inlineStr">
        <is>
          <t>New borrowing / funding gap</t>
        </is>
      </c>
      <c r="C10" s="73">
        <f>MAX(0,C8-C9)</f>
        <v/>
      </c>
      <c r="D10" s="73">
        <f>MAX(0,D8-D9)</f>
        <v/>
      </c>
      <c r="E10" s="73">
        <f>MAX(0,E8-E9)</f>
        <v/>
      </c>
      <c r="F10" s="73">
        <f>MAX(0,F8-F9)</f>
        <v/>
      </c>
      <c r="G10" s="73">
        <f>MAX(0,G8-G9)</f>
        <v/>
      </c>
    </row>
    <row r="11" ht="15" customHeight="1" s="46">
      <c r="B11" s="74" t="inlineStr">
        <is>
          <t>Ending debt</t>
        </is>
      </c>
      <c r="C11" s="75">
        <f>C5-C6+C10</f>
        <v/>
      </c>
      <c r="D11" s="75">
        <f>D5-D6+D10</f>
        <v/>
      </c>
      <c r="E11" s="75">
        <f>E5-E6+E10</f>
        <v/>
      </c>
      <c r="F11" s="75">
        <f>F5-F6+F10</f>
        <v/>
      </c>
      <c r="G11" s="75">
        <f>G5-G6+G10</f>
        <v/>
      </c>
    </row>
    <row r="12" ht="15" customHeight="1" s="46">
      <c r="B12" s="45" t="inlineStr">
        <is>
          <t>Beginning reserves</t>
        </is>
      </c>
      <c r="C12" s="73">
        <f>Assumptions!E9</f>
        <v/>
      </c>
      <c r="D12" s="73">
        <f>C13</f>
        <v/>
      </c>
      <c r="E12" s="73">
        <f>D13</f>
        <v/>
      </c>
      <c r="F12" s="73">
        <f>E13</f>
        <v/>
      </c>
      <c r="G12" s="73">
        <f>F13</f>
        <v/>
      </c>
    </row>
    <row r="13" ht="15" customHeight="1" s="46">
      <c r="B13" s="74" t="inlineStr">
        <is>
          <t>Ending reserves</t>
        </is>
      </c>
      <c r="C13" s="75">
        <f>MAX(0,C12+C9-C8+C10)</f>
        <v/>
      </c>
      <c r="D13" s="75">
        <f>MAX(0,D12+D9-D8+D10)</f>
        <v/>
      </c>
      <c r="E13" s="75">
        <f>MAX(0,E12+E9-E8+E10)</f>
        <v/>
      </c>
      <c r="F13" s="75">
        <f>MAX(0,F12+F9-F8+F10)</f>
        <v/>
      </c>
      <c r="G13" s="75">
        <f>MAX(0,G12+G9-G8+G10)</f>
        <v/>
      </c>
    </row>
    <row r="14" ht="15" customHeight="1" s="46">
      <c r="B14" s="45" t="inlineStr">
        <is>
          <t>Pledged revenue</t>
        </is>
      </c>
      <c r="C14" s="73">
        <f>Assumptions!$E$12*(1+Assumptions!$E$14)^1</f>
        <v/>
      </c>
      <c r="D14" s="73">
        <f>Assumptions!$E$12*(1+Assumptions!$E$14)^2</f>
        <v/>
      </c>
      <c r="E14" s="73">
        <f>Assumptions!$E$12*(1+Assumptions!$E$14)^3</f>
        <v/>
      </c>
      <c r="F14" s="73">
        <f>Assumptions!$E$12*(1+Assumptions!$E$14)^4</f>
        <v/>
      </c>
      <c r="G14" s="73">
        <f>Assumptions!$E$12*(1+Assumptions!$E$14)^5</f>
        <v/>
      </c>
    </row>
    <row r="15" ht="15" customHeight="1" s="46">
      <c r="B15" s="45" t="inlineStr">
        <is>
          <t>Revenue-bond DSCR</t>
        </is>
      </c>
      <c r="C15" s="71">
        <f>IFERROR(C14/C8,0)</f>
        <v/>
      </c>
      <c r="D15" s="71">
        <f>IFERROR(D14/D8,0)</f>
        <v/>
      </c>
      <c r="E15" s="71">
        <f>IFERROR(E14/E8,0)</f>
        <v/>
      </c>
      <c r="F15" s="71">
        <f>IFERROR(F14/F8,0)</f>
        <v/>
      </c>
      <c r="G15" s="71">
        <f>IFERROR(G14/G8,0)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3" customWidth="1" style="45" min="3" max="7"/>
  </cols>
  <sheetData>
    <row r="2" ht="27.75" customHeight="1" s="46">
      <c r="B2" s="47" t="inlineStr">
        <is>
          <t>Coverage, Liquidity &amp; Debt Burden</t>
        </is>
      </c>
    </row>
    <row r="4" ht="15" customHeight="1" s="46">
      <c r="B4" s="60" t="inlineStr">
        <is>
          <t>Metric</t>
        </is>
      </c>
      <c r="C4" s="60" t="inlineStr">
        <is>
          <t>Year 1</t>
        </is>
      </c>
      <c r="D4" s="60" t="inlineStr">
        <is>
          <t>Year 2</t>
        </is>
      </c>
      <c r="E4" s="60" t="inlineStr">
        <is>
          <t>Year 3</t>
        </is>
      </c>
      <c r="F4" s="60" t="inlineStr">
        <is>
          <t>Year 4</t>
        </is>
      </c>
      <c r="G4" s="60" t="inlineStr">
        <is>
          <t>Year 5</t>
        </is>
      </c>
    </row>
    <row r="5" ht="15" customHeight="1" s="46">
      <c r="B5" s="45" t="inlineStr">
        <is>
          <t>Debt / recurring revenue</t>
        </is>
      </c>
      <c r="C5" s="71">
        <f>IFERROR('Debt Service'!C11/'Revenue &amp; Expenditure'!D5,0)</f>
        <v/>
      </c>
      <c r="D5" s="71">
        <f>IFERROR('Debt Service'!D11/'Revenue &amp; Expenditure'!E5,0)</f>
        <v/>
      </c>
      <c r="E5" s="71">
        <f>IFERROR('Debt Service'!E11/'Revenue &amp; Expenditure'!F5,0)</f>
        <v/>
      </c>
      <c r="F5" s="71">
        <f>IFERROR('Debt Service'!F11/'Revenue &amp; Expenditure'!G5,0)</f>
        <v/>
      </c>
      <c r="G5" s="71">
        <f>IFERROR('Debt Service'!G11/'Revenue &amp; Expenditure'!H5,0)</f>
        <v/>
      </c>
    </row>
    <row r="6" ht="15" customHeight="1" s="46">
      <c r="B6" s="45" t="inlineStr">
        <is>
          <t>Maximum debt / revenue</t>
        </is>
      </c>
      <c r="C6" s="71">
        <f>Assumptions!E17</f>
        <v/>
      </c>
      <c r="D6" s="71">
        <f>Assumptions!E17</f>
        <v/>
      </c>
      <c r="E6" s="71">
        <f>Assumptions!E17</f>
        <v/>
      </c>
      <c r="F6" s="71">
        <f>Assumptions!E17</f>
        <v/>
      </c>
      <c r="G6" s="71">
        <f>Assumptions!E17</f>
        <v/>
      </c>
    </row>
    <row r="7" ht="15" customHeight="1" s="46">
      <c r="B7" s="45" t="inlineStr">
        <is>
          <t>Debt burden headroom</t>
        </is>
      </c>
      <c r="C7" s="71">
        <f>C6-C5</f>
        <v/>
      </c>
      <c r="D7" s="71">
        <f>D6-D5</f>
        <v/>
      </c>
      <c r="E7" s="71">
        <f>E6-E5</f>
        <v/>
      </c>
      <c r="F7" s="71">
        <f>F6-F5</f>
        <v/>
      </c>
      <c r="G7" s="71">
        <f>G6-G5</f>
        <v/>
      </c>
    </row>
    <row r="8" ht="15" customHeight="1" s="46">
      <c r="B8" s="45" t="inlineStr">
        <is>
          <t>Revenue-bond DSCR</t>
        </is>
      </c>
      <c r="C8" s="71">
        <f>'Debt Service'!C15</f>
        <v/>
      </c>
      <c r="D8" s="71">
        <f>'Debt Service'!D15</f>
        <v/>
      </c>
      <c r="E8" s="71">
        <f>'Debt Service'!E15</f>
        <v/>
      </c>
      <c r="F8" s="71">
        <f>'Debt Service'!F15</f>
        <v/>
      </c>
      <c r="G8" s="71">
        <f>'Debt Service'!G15</f>
        <v/>
      </c>
    </row>
    <row r="9" ht="15" customHeight="1" s="46">
      <c r="B9" s="45" t="inlineStr">
        <is>
          <t>Minimum DSCR</t>
        </is>
      </c>
      <c r="C9" s="71">
        <f>Assumptions!E18</f>
        <v/>
      </c>
      <c r="D9" s="71">
        <f>Assumptions!E18</f>
        <v/>
      </c>
      <c r="E9" s="71">
        <f>Assumptions!E18</f>
        <v/>
      </c>
      <c r="F9" s="71">
        <f>Assumptions!E18</f>
        <v/>
      </c>
      <c r="G9" s="71">
        <f>Assumptions!E18</f>
        <v/>
      </c>
    </row>
    <row r="10" ht="15" customHeight="1" s="46">
      <c r="B10" s="45" t="inlineStr">
        <is>
          <t>DSCR headroom</t>
        </is>
      </c>
      <c r="C10" s="71">
        <f>C8-C9</f>
        <v/>
      </c>
      <c r="D10" s="71">
        <f>D8-D9</f>
        <v/>
      </c>
      <c r="E10" s="71">
        <f>E8-E9</f>
        <v/>
      </c>
      <c r="F10" s="71">
        <f>F8-F9</f>
        <v/>
      </c>
      <c r="G10" s="71">
        <f>G8-G9</f>
        <v/>
      </c>
    </row>
    <row r="11" ht="15" customHeight="1" s="46">
      <c r="B11" s="45" t="inlineStr">
        <is>
          <t>Days cash on hand</t>
        </is>
      </c>
      <c r="C11" s="76">
        <f>IFERROR('Debt Service'!C13/('Revenue &amp; Expenditure'!D7/365),0)</f>
        <v/>
      </c>
      <c r="D11" s="76">
        <f>IFERROR('Debt Service'!D13/('Revenue &amp; Expenditure'!E7/365),0)</f>
        <v/>
      </c>
      <c r="E11" s="76">
        <f>IFERROR('Debt Service'!E13/('Revenue &amp; Expenditure'!F7/365),0)</f>
        <v/>
      </c>
      <c r="F11" s="76">
        <f>IFERROR('Debt Service'!F13/('Revenue &amp; Expenditure'!G7/365),0)</f>
        <v/>
      </c>
      <c r="G11" s="76">
        <f>IFERROR('Debt Service'!G13/('Revenue &amp; Expenditure'!H7/365),0)</f>
        <v/>
      </c>
    </row>
    <row r="12" ht="15" customHeight="1" s="46">
      <c r="B12" s="45" t="inlineStr">
        <is>
          <t>Minimum days cash</t>
        </is>
      </c>
      <c r="C12" s="76">
        <f>Assumptions!E19</f>
        <v/>
      </c>
      <c r="D12" s="76">
        <f>Assumptions!E19</f>
        <v/>
      </c>
      <c r="E12" s="76">
        <f>Assumptions!E19</f>
        <v/>
      </c>
      <c r="F12" s="76">
        <f>Assumptions!E19</f>
        <v/>
      </c>
      <c r="G12" s="76">
        <f>Assumptions!E19</f>
        <v/>
      </c>
    </row>
    <row r="13" ht="15" customHeight="1" s="46">
      <c r="B13" s="45" t="inlineStr">
        <is>
          <t>Liquidity headroom</t>
        </is>
      </c>
      <c r="C13" s="76">
        <f>C11-C12</f>
        <v/>
      </c>
      <c r="D13" s="76">
        <f>D11-D12</f>
        <v/>
      </c>
      <c r="E13" s="76">
        <f>E11-E12</f>
        <v/>
      </c>
      <c r="F13" s="76">
        <f>F11-F12</f>
        <v/>
      </c>
      <c r="G13" s="76">
        <f>G11-G12</f>
        <v/>
      </c>
    </row>
    <row r="14" ht="15" customHeight="1" s="46">
      <c r="B14" s="45" t="inlineStr">
        <is>
          <t>Pension burden / revenue</t>
        </is>
      </c>
      <c r="C14" s="72">
        <f>IFERROR('Revenue &amp; Expenditure'!D11/'Revenue &amp; Expenditure'!D5,0)</f>
        <v/>
      </c>
      <c r="D14" s="72">
        <f>IFERROR('Revenue &amp; Expenditure'!E11/'Revenue &amp; Expenditure'!E5,0)</f>
        <v/>
      </c>
      <c r="E14" s="72">
        <f>IFERROR('Revenue &amp; Expenditure'!F11/'Revenue &amp; Expenditure'!F5,0)</f>
        <v/>
      </c>
      <c r="F14" s="72">
        <f>IFERROR('Revenue &amp; Expenditure'!G11/'Revenue &amp; Expenditure'!G5,0)</f>
        <v/>
      </c>
      <c r="G14" s="72">
        <f>IFERROR('Revenue &amp; Expenditure'!H11/'Revenue &amp; Expenditure'!H5,0)</f>
        <v/>
      </c>
    </row>
    <row r="15" ht="15" customHeight="1" s="46">
      <c r="B15" s="45" t="inlineStr">
        <is>
          <t>Status</t>
        </is>
      </c>
      <c r="C15" s="45">
        <f>IF(AND(C7&gt;=0,C10&gt;=0,C13&gt;=0),"PASS","BREACH")</f>
        <v/>
      </c>
      <c r="D15" s="45">
        <f>IF(AND(D7&gt;=0,D10&gt;=0,D13&gt;=0),"PASS","BREACH")</f>
        <v/>
      </c>
      <c r="E15" s="45">
        <f>IF(AND(E7&gt;=0,E10&gt;=0,E13&gt;=0),"PASS","BREACH")</f>
        <v/>
      </c>
      <c r="F15" s="45">
        <f>IF(AND(F7&gt;=0,F10&gt;=0,F13&gt;=0),"PASS","BREACH")</f>
        <v/>
      </c>
      <c r="G15" s="45">
        <f>IF(AND(G7&gt;=0,G10&gt;=0,G13&gt;=0),"PASS","BREACH")</f>
        <v/>
      </c>
    </row>
  </sheetData>
  <mergeCells count="1">
    <mergeCell ref="B2:G2"/>
  </mergeCells>
  <conditionalFormatting sqref="C15:G15">
    <cfRule type="expression" rank="0" priority="2" equalAverage="0" aboveAverage="0" dxfId="0" text="" percent="0" bottom="0">
      <formula>C15="PASS"</formula>
    </cfRule>
    <cfRule type="expression" rank="0" priority="3" equalAverage="0" aboveAverage="0" dxfId="1" text="" percent="0" bottom="0">
      <formula>C15="FAIL"</formula>
    </cfRule>
    <cfRule type="expression" rank="0" priority="4" equalAverage="0" aboveAverage="0" dxfId="2" text="" percent="0" bottom="0">
      <formula>C15="REVIEW"</formula>
    </cfRule>
    <cfRule type="expression" rank="0" priority="5" equalAverage="0" aboveAverage="0" dxfId="1" text="" percent="0" bottom="0">
      <formula>C15="BREACH"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0" customWidth="1" style="45" min="2" max="2"/>
    <col width="18" customWidth="1" style="45" min="3" max="4"/>
    <col width="32" customWidth="1" style="45" min="5" max="5"/>
  </cols>
  <sheetData>
    <row r="2" ht="27.75" customHeight="1" s="46">
      <c r="B2" s="47" t="inlineStr">
        <is>
          <t>Scenario Summary</t>
        </is>
      </c>
    </row>
    <row r="4" ht="15" customHeight="1" s="46">
      <c r="B4" s="60" t="inlineStr">
        <is>
          <t>Metric</t>
        </is>
      </c>
      <c r="C4" s="60" t="inlineStr">
        <is>
          <t>Base</t>
        </is>
      </c>
      <c r="D4" s="60" t="inlineStr">
        <is>
          <t>Downside</t>
        </is>
      </c>
      <c r="E4" s="60" t="inlineStr">
        <is>
          <t>Threshold / interpretation</t>
        </is>
      </c>
    </row>
    <row r="5" ht="15" customHeight="1" s="46">
      <c r="B5" s="45" t="inlineStr">
        <is>
          <t>Operating surplus</t>
        </is>
      </c>
      <c r="C5" s="73">
        <f>Assumptions!C6-Assumptions!C7-Assumptions!C20</f>
        <v/>
      </c>
      <c r="D5" s="73">
        <f>Assumptions!D6-Assumptions!D7-Assumptions!D20</f>
        <v/>
      </c>
      <c r="E5" s="45" t="inlineStr">
        <is>
          <t>Decision screen</t>
        </is>
      </c>
    </row>
    <row r="6" ht="15" customHeight="1" s="46">
      <c r="B6" s="45" t="inlineStr">
        <is>
          <t>Debt / revenue</t>
        </is>
      </c>
      <c r="C6" s="71">
        <f>IFERROR(Assumptions!C10/Assumptions!C6,0)</f>
        <v/>
      </c>
      <c r="D6" s="71">
        <f>IFERROR(Assumptions!D10/Assumptions!D6,0)</f>
        <v/>
      </c>
      <c r="E6" s="45" t="inlineStr">
        <is>
          <t>Decision screen</t>
        </is>
      </c>
    </row>
    <row r="7" ht="15" customHeight="1" s="46">
      <c r="B7" s="45" t="inlineStr">
        <is>
          <t>Revenue-bond DSCR</t>
        </is>
      </c>
      <c r="C7" s="71">
        <f>IFERROR(Assumptions!C12/(Assumptions!C11+Assumptions!C10*Assumptions!C16),0)</f>
        <v/>
      </c>
      <c r="D7" s="71">
        <f>IFERROR(Assumptions!D12/(Assumptions!D11+Assumptions!D10*Assumptions!D16),0)</f>
        <v/>
      </c>
      <c r="E7" s="45" t="inlineStr">
        <is>
          <t>Decision screen</t>
        </is>
      </c>
    </row>
    <row r="8" ht="15" customHeight="1" s="46">
      <c r="B8" s="45" t="inlineStr">
        <is>
          <t>Days cash</t>
        </is>
      </c>
      <c r="C8" s="76">
        <f>IFERROR(Assumptions!C9/(Assumptions!C7/365),0)</f>
        <v/>
      </c>
      <c r="D8" s="76">
        <f>IFERROR(Assumptions!D9/(Assumptions!D7/365),0)</f>
        <v/>
      </c>
      <c r="E8" s="45" t="inlineStr">
        <is>
          <t>Decision screen</t>
        </is>
      </c>
    </row>
    <row r="9" ht="15" customHeight="1" s="46">
      <c r="B9" s="45" t="inlineStr">
        <is>
          <t>Debt-stabilizing primary balance</t>
        </is>
      </c>
      <c r="C9" s="72">
        <f>IFERROR((Assumptions!C16-Assumptions!C21)/(1+Assumptions!C21)*(Assumptions!C10/Assumptions!C6),0)</f>
        <v/>
      </c>
      <c r="D9" s="72">
        <f>IFERROR((Assumptions!D16-Assumptions!D21)/(1+Assumptions!D21)*(Assumptions!D10/Assumptions!D6),0)</f>
        <v/>
      </c>
      <c r="E9" s="45" t="inlineStr">
        <is>
          <t>Decision screen</t>
        </is>
      </c>
    </row>
    <row r="10" ht="15" customHeight="1" s="46">
      <c r="B10" s="45" t="inlineStr">
        <is>
          <t>Overall</t>
        </is>
      </c>
      <c r="C10" s="45">
        <f>IF(AND(C5&gt;0,C6&lt;=Assumptions!C17,C7&gt;=Assumptions!C18,C8&gt;=Assumptions!C19),"PASS","REVIEW")</f>
        <v/>
      </c>
      <c r="D10" s="45">
        <f>IF(AND(D5&gt;0,D6&lt;=Assumptions!D17,D7&gt;=Assumptions!D18,D8&gt;=Assumptions!D19),"PASS","REVIEW")</f>
        <v/>
      </c>
      <c r="E10" s="45" t="inlineStr">
        <is>
          <t>Decision screen</t>
        </is>
      </c>
    </row>
  </sheetData>
  <mergeCells count="1">
    <mergeCell ref="B2:E2"/>
  </mergeCells>
  <conditionalFormatting sqref="C10:D10">
    <cfRule type="expression" rank="0" priority="2" equalAverage="0" aboveAverage="0" dxfId="0" text="" percent="0" bottom="0">
      <formula>C10="PASS"</formula>
    </cfRule>
    <cfRule type="expression" rank="0" priority="3" equalAverage="0" aboveAverage="0" dxfId="1" text="" percent="0" bottom="0">
      <formula>C10="FAIL"</formula>
    </cfRule>
    <cfRule type="expression" rank="0" priority="4" equalAverage="0" aboveAverage="0" dxfId="2" text="" percent="0" bottom="0">
      <formula>C10="REVIEW"</formula>
    </cfRule>
    <cfRule type="expression" rank="0" priority="5" equalAverage="0" aboveAverage="0" dxfId="1" text="" percent="0" bottom="0">
      <formula>C10="BREACH"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34" customWidth="1" style="45" min="2" max="2"/>
    <col width="12" customWidth="1" style="45" min="3" max="7"/>
  </cols>
  <sheetData>
    <row r="2" ht="27.75" customHeight="1" s="46">
      <c r="B2" s="47" t="inlineStr">
        <is>
          <t>Debt Ratio Sensitivity — One Year</t>
        </is>
      </c>
    </row>
    <row r="4" ht="15" customHeight="1" s="46">
      <c r="B4" s="60" t="inlineStr">
        <is>
          <t>Primary balance / r-g</t>
        </is>
      </c>
      <c r="C4" s="77" t="n">
        <v>-0.02</v>
      </c>
      <c r="D4" s="77" t="n">
        <v>0</v>
      </c>
      <c r="E4" s="77" t="n">
        <v>0.02</v>
      </c>
      <c r="F4" s="77" t="n">
        <v>0.04</v>
      </c>
      <c r="G4" s="77" t="n">
        <v>0.06</v>
      </c>
    </row>
    <row r="5" ht="15" customHeight="1" s="46">
      <c r="B5" s="72" t="n">
        <v>-0.05</v>
      </c>
      <c r="C5" s="71">
        <f>'Debt Sustainability'!$C$5*(1+C$4)-$B5</f>
        <v/>
      </c>
      <c r="D5" s="71">
        <f>'Debt Sustainability'!$C$5*(1+D$4)-$B5</f>
        <v/>
      </c>
      <c r="E5" s="71">
        <f>'Debt Sustainability'!$C$5*(1+E$4)-$B5</f>
        <v/>
      </c>
      <c r="F5" s="71">
        <f>'Debt Sustainability'!$C$5*(1+F$4)-$B5</f>
        <v/>
      </c>
      <c r="G5" s="71">
        <f>'Debt Sustainability'!$C$5*(1+G$4)-$B5</f>
        <v/>
      </c>
    </row>
    <row r="6" ht="15" customHeight="1" s="46">
      <c r="B6" s="72" t="n">
        <v>-0.025</v>
      </c>
      <c r="C6" s="71">
        <f>'Debt Sustainability'!$C$5*(1+C$4)-$B6</f>
        <v/>
      </c>
      <c r="D6" s="71">
        <f>'Debt Sustainability'!$C$5*(1+D$4)-$B6</f>
        <v/>
      </c>
      <c r="E6" s="71">
        <f>'Debt Sustainability'!$C$5*(1+E$4)-$B6</f>
        <v/>
      </c>
      <c r="F6" s="71">
        <f>'Debt Sustainability'!$C$5*(1+F$4)-$B6</f>
        <v/>
      </c>
      <c r="G6" s="71">
        <f>'Debt Sustainability'!$C$5*(1+G$4)-$B6</f>
        <v/>
      </c>
    </row>
    <row r="7" ht="15" customHeight="1" s="46">
      <c r="B7" s="72" t="n">
        <v>0</v>
      </c>
      <c r="C7" s="71">
        <f>'Debt Sustainability'!$C$5*(1+C$4)-$B7</f>
        <v/>
      </c>
      <c r="D7" s="71">
        <f>'Debt Sustainability'!$C$5*(1+D$4)-$B7</f>
        <v/>
      </c>
      <c r="E7" s="71">
        <f>'Debt Sustainability'!$C$5*(1+E$4)-$B7</f>
        <v/>
      </c>
      <c r="F7" s="71">
        <f>'Debt Sustainability'!$C$5*(1+F$4)-$B7</f>
        <v/>
      </c>
      <c r="G7" s="71">
        <f>'Debt Sustainability'!$C$5*(1+G$4)-$B7</f>
        <v/>
      </c>
    </row>
    <row r="8" ht="15" customHeight="1" s="46">
      <c r="B8" s="72" t="n">
        <v>0.025</v>
      </c>
      <c r="C8" s="71">
        <f>'Debt Sustainability'!$C$5*(1+C$4)-$B8</f>
        <v/>
      </c>
      <c r="D8" s="71">
        <f>'Debt Sustainability'!$C$5*(1+D$4)-$B8</f>
        <v/>
      </c>
      <c r="E8" s="71">
        <f>'Debt Sustainability'!$C$5*(1+E$4)-$B8</f>
        <v/>
      </c>
      <c r="F8" s="71">
        <f>'Debt Sustainability'!$C$5*(1+F$4)-$B8</f>
        <v/>
      </c>
      <c r="G8" s="71">
        <f>'Debt Sustainability'!$C$5*(1+G$4)-$B8</f>
        <v/>
      </c>
    </row>
    <row r="9" ht="15" customHeight="1" s="46">
      <c r="B9" s="72" t="n">
        <v>0.05</v>
      </c>
      <c r="C9" s="71">
        <f>'Debt Sustainability'!$C$5*(1+C$4)-$B9</f>
        <v/>
      </c>
      <c r="D9" s="71">
        <f>'Debt Sustainability'!$C$5*(1+D$4)-$B9</f>
        <v/>
      </c>
      <c r="E9" s="71">
        <f>'Debt Sustainability'!$C$5*(1+E$4)-$B9</f>
        <v/>
      </c>
      <c r="F9" s="71">
        <f>'Debt Sustainability'!$C$5*(1+F$4)-$B9</f>
        <v/>
      </c>
      <c r="G9" s="71">
        <f>'Debt Sustainability'!$C$5*(1+G$4)-$B9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4" customWidth="1" style="45" min="2" max="2"/>
    <col width="18" customWidth="1" style="45" min="3" max="3"/>
  </cols>
  <sheetData>
    <row r="2" ht="27.75" customHeight="1" s="46">
      <c r="B2" s="47" t="inlineStr">
        <is>
          <t>Model Checks</t>
        </is>
      </c>
    </row>
    <row r="4" ht="15" customHeight="1" s="46">
      <c r="B4" s="60" t="inlineStr">
        <is>
          <t>Check</t>
        </is>
      </c>
      <c r="C4" s="60" t="inlineStr">
        <is>
          <t>Status</t>
        </is>
      </c>
    </row>
    <row r="5" ht="15" customHeight="1" s="46">
      <c r="B5" s="45" t="inlineStr">
        <is>
          <t>Debt nonnegative</t>
        </is>
      </c>
      <c r="C5" s="45">
        <f>IF(MIN('Debt Service'!C11:G11)&gt;=0,"PASS","FAIL")</f>
        <v/>
      </c>
    </row>
    <row r="6" ht="15" customHeight="1" s="46">
      <c r="B6" s="45" t="inlineStr">
        <is>
          <t>Reserves nonnegative</t>
        </is>
      </c>
      <c r="C6" s="45">
        <f>IF(MIN('Debt Service'!C13:G13)&gt;=0,"PASS","FAIL")</f>
        <v/>
      </c>
    </row>
    <row r="7" ht="15" customHeight="1" s="46">
      <c r="B7" s="45" t="inlineStr">
        <is>
          <t>Coverage finite</t>
        </is>
      </c>
      <c r="C7" s="45">
        <f>IF(AND(MAX(Coverage!C5:G14)&lt;1000,MIN(Coverage!C5:G14)&gt;-1000),"PASS","FAIL")</f>
        <v/>
      </c>
    </row>
    <row r="8" ht="15" customHeight="1" s="46">
      <c r="B8" s="45" t="inlineStr">
        <is>
          <t>No coverage breach</t>
        </is>
      </c>
      <c r="C8" s="45">
        <f>IF(COUNTIF(Coverage!C15:G15,"BREACH")=0,"PASS","REVIEW")</f>
        <v/>
      </c>
    </row>
    <row r="9" ht="15" customHeight="1" s="46">
      <c r="B9" s="45" t="inlineStr">
        <is>
          <t>Debt dynamics bounded</t>
        </is>
      </c>
      <c r="C9" s="45">
        <f>IF(AND('Debt Sustainability'!C12&gt;=0,'Debt Sustainability'!C12&lt;10),"PASS","REVIEW")</f>
        <v/>
      </c>
    </row>
    <row r="10" ht="15" customHeight="1" s="46">
      <c r="B10" s="45" t="inlineStr">
        <is>
          <t>Overall</t>
        </is>
      </c>
      <c r="C10" s="45">
        <f>IF(COUNTIF(C5:C9,"FAIL")+COUNTIF(C5:C9,"REVIEW")=0,"PASS","REVIEW")</f>
        <v/>
      </c>
    </row>
  </sheetData>
  <mergeCells count="1">
    <mergeCell ref="B2:C2"/>
  </mergeCells>
  <conditionalFormatting sqref="C5:C10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34" customWidth="1" style="45" min="2" max="2"/>
    <col width="58" customWidth="1" style="45" min="3" max="3"/>
    <col width="16" customWidth="1" style="45" min="4" max="4"/>
    <col width="48" customWidth="1" style="45" min="5" max="5"/>
  </cols>
  <sheetData>
    <row r="2" ht="27.75" customHeight="1" s="46">
      <c r="B2" s="47" t="inlineStr">
        <is>
          <t>Source Register</t>
        </is>
      </c>
    </row>
    <row r="4" ht="15" customHeight="1" s="46">
      <c r="B4" s="60" t="inlineStr">
        <is>
          <t>Input / dataset</t>
        </is>
      </c>
      <c r="C4" s="60" t="inlineStr">
        <is>
          <t>Source URL or document</t>
        </is>
      </c>
      <c r="D4" s="60" t="inlineStr">
        <is>
          <t>As-of</t>
        </is>
      </c>
      <c r="E4" s="60" t="inlineStr">
        <is>
          <t>Notes / transformation</t>
        </is>
      </c>
    </row>
    <row r="5" ht="15" customHeight="1" s="46">
      <c r="B5" s="78" t="inlineStr">
        <is>
          <t>Official statements / disclosures</t>
        </is>
      </c>
      <c r="C5" s="78" t="inlineStr">
        <is>
          <t>EMMA, finance ministry, issuer or audited report</t>
        </is>
      </c>
      <c r="D5" s="78" t="inlineStr">
        <is>
          <t>[period]</t>
        </is>
      </c>
      <c r="E5" s="78" t="inlineStr">
        <is>
          <t>Revenue, expenditure, debt and reserves</t>
        </is>
      </c>
    </row>
    <row r="6" ht="15" customHeight="1" s="46">
      <c r="B6" s="78" t="inlineStr">
        <is>
          <t>Accounting standards</t>
        </is>
      </c>
      <c r="C6" s="78" t="inlineStr">
        <is>
          <t>GASB, IPSAS, or applicable national standards</t>
        </is>
      </c>
      <c r="D6" s="78" t="inlineStr">
        <is>
          <t>[date]</t>
        </is>
      </c>
      <c r="E6" s="78" t="inlineStr">
        <is>
          <t>Map reporting consistently</t>
        </is>
      </c>
    </row>
    <row r="7" ht="15" customHeight="1" s="46">
      <c r="B7" s="78" t="inlineStr">
        <is>
          <t>Economic and demographic data</t>
        </is>
      </c>
      <c r="C7" s="78" t="inlineStr">
        <is>
          <t>Official statistics, FRED, or multilateral dataset</t>
        </is>
      </c>
      <c r="D7" s="78" t="inlineStr">
        <is>
          <t>[period]</t>
        </is>
      </c>
      <c r="E7" s="78" t="inlineStr">
        <is>
          <t>Freeze series and release vintage</t>
        </is>
      </c>
    </row>
    <row r="8" ht="15" customHeight="1" s="46">
      <c r="B8" s="78" t="inlineStr">
        <is>
          <t>Benchmark rates</t>
        </is>
      </c>
      <c r="C8" s="78" t="inlineStr">
        <is>
          <t>Treasury or sovereign curve</t>
        </is>
      </c>
      <c r="D8" s="78" t="inlineStr">
        <is>
          <t>[date]</t>
        </is>
      </c>
      <c r="E8" s="78" t="inlineStr">
        <is>
          <t>Refinancing and relative-value assumptions</t>
        </is>
      </c>
    </row>
    <row r="9" ht="15" customHeight="1" s="46">
      <c r="B9" s="78" t="inlineStr">
        <is>
          <t>Debt sustainability method</t>
        </is>
      </c>
      <c r="C9" s="78" t="inlineStr">
        <is>
          <t>IMF / World Bank public methodology</t>
        </is>
      </c>
      <c r="D9" s="78" t="inlineStr">
        <is>
          <t>[date]</t>
        </is>
      </c>
      <c r="E9" s="78" t="inlineStr">
        <is>
          <t>Document debt-dynamics and stress choices</t>
        </is>
      </c>
    </row>
    <row r="10">
      <c r="B10" s="79" t="inlineStr">
        <is>
          <t>IMF Sri Lanka 2023 EFF request and debt-sustainability analysis</t>
        </is>
      </c>
      <c r="C10" s="79" t="inlineStr">
        <is>
          <t>https://www.elibrary.imf.org/view/journals/002/2023/116/article-A001-en.xml</t>
        </is>
      </c>
      <c r="D10" s="79" t="inlineStr">
        <is>
          <t>2023-03-20</t>
        </is>
      </c>
      <c r="E10" s="79" t="inlineStr">
        <is>
          <t>International Monetary Fund; frozen curated observation as of case date</t>
        </is>
      </c>
    </row>
    <row r="11">
      <c r="B11" s="79" t="inlineStr">
        <is>
          <t>Frozen source snapshot</t>
        </is>
      </c>
      <c r="C11" s="79" t="inlineStr">
        <is>
          <t>repo://07_Public_Finance/sources/snapshots/public-finance-sri-lanka-2023-stress.json</t>
        </is>
      </c>
      <c r="D11" s="79" t="inlineStr">
        <is>
          <t>2023-03-20</t>
        </is>
      </c>
      <c r="E11" s="79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14" customWidth="1" style="45" min="2" max="2"/>
    <col width="22" customWidth="1" style="45" min="3" max="3"/>
    <col width="28" customWidth="1" style="45" min="4" max="4"/>
    <col width="38" customWidth="1" style="45" min="5" max="5"/>
    <col width="34" customWidth="1" style="45" min="6" max="6"/>
    <col width="18" customWidth="1" style="45" min="7" max="7"/>
  </cols>
  <sheetData>
    <row r="2" ht="27.75" customHeight="1" s="46">
      <c r="B2" s="47" t="inlineStr">
        <is>
          <t>Refresh Log</t>
        </is>
      </c>
    </row>
    <row r="4" ht="15" customHeight="1" s="46">
      <c r="B4" s="60" t="inlineStr">
        <is>
          <t>Date</t>
        </is>
      </c>
      <c r="C4" s="60" t="inlineStr">
        <is>
          <t>Trigger</t>
        </is>
      </c>
      <c r="D4" s="60" t="inlineStr">
        <is>
          <t>Source snapshot</t>
        </is>
      </c>
      <c r="E4" s="60" t="inlineStr">
        <is>
          <t>What changed</t>
        </is>
      </c>
      <c r="F4" s="60" t="inlineStr">
        <is>
          <t>Reviewer / challenge</t>
        </is>
      </c>
      <c r="G4" s="60" t="inlineStr">
        <is>
          <t>Next check</t>
        </is>
      </c>
    </row>
    <row r="5" ht="15" customHeight="1" s="46">
      <c r="B5" s="80" t="inlineStr">
        <is>
          <t>2026-08-04</t>
        </is>
      </c>
      <c r="C5" s="80" t="inlineStr">
        <is>
          <t>External historical evidence materialization</t>
        </is>
      </c>
      <c r="D5" s="80" t="inlineStr">
        <is>
          <t>repo://07_Public_Finance/sources/snapshots/public-finance-sri-lanka-2023-stress.json</t>
        </is>
      </c>
      <c r="E5" s="80" t="inlineStr">
        <is>
          <t>Generated public case public-finance-sri-lanka-2023-stress from canonical release template</t>
        </is>
      </c>
      <c r="F5" s="80" t="inlineStr">
        <is>
          <t>External historical case; human stakeholder approval remains pending</t>
        </is>
      </c>
      <c r="G5" s="80" t="inlineStr">
        <is>
          <t>On source revision, builder change, monitoring breach, or annual review</t>
        </is>
      </c>
    </row>
    <row r="6" ht="15" customHeight="1" s="46">
      <c r="B6" s="80" t="n"/>
      <c r="C6" s="80" t="n"/>
      <c r="D6" s="80" t="n"/>
      <c r="E6" s="80" t="n"/>
      <c r="F6" s="80" t="n"/>
      <c r="G6" s="80" t="n"/>
    </row>
    <row r="7" ht="15" customHeight="1" s="46">
      <c r="B7" s="80" t="n"/>
      <c r="C7" s="80" t="n"/>
      <c r="D7" s="80" t="n"/>
      <c r="E7" s="80" t="n"/>
      <c r="F7" s="80" t="n"/>
      <c r="G7" s="80" t="n"/>
    </row>
    <row r="8" ht="15" customHeight="1" s="46">
      <c r="B8" s="80" t="n"/>
      <c r="C8" s="80" t="n"/>
      <c r="D8" s="80" t="n"/>
      <c r="E8" s="80" t="n"/>
      <c r="F8" s="80" t="n"/>
      <c r="G8" s="80" t="n"/>
    </row>
    <row r="9" ht="15" customHeight="1" s="46">
      <c r="B9" s="80" t="n"/>
      <c r="C9" s="80" t="n"/>
      <c r="D9" s="80" t="n"/>
      <c r="E9" s="80" t="n"/>
      <c r="F9" s="80" t="n"/>
      <c r="G9" s="80" t="n"/>
    </row>
    <row r="10" ht="15" customHeight="1" s="46">
      <c r="B10" s="80" t="n"/>
      <c r="C10" s="80" t="n"/>
      <c r="D10" s="80" t="n"/>
      <c r="E10" s="80" t="n"/>
      <c r="F10" s="80" t="n"/>
      <c r="G10" s="80" t="n"/>
    </row>
    <row r="11" ht="15" customHeight="1" s="46">
      <c r="B11" s="80" t="n"/>
      <c r="C11" s="80" t="n"/>
      <c r="D11" s="80" t="n"/>
      <c r="E11" s="80" t="n"/>
      <c r="F11" s="80" t="n"/>
      <c r="G11" s="80" t="n"/>
    </row>
    <row r="12" ht="15" customHeight="1" s="46">
      <c r="B12" s="80" t="n"/>
      <c r="C12" s="80" t="n"/>
      <c r="D12" s="80" t="n"/>
      <c r="E12" s="80" t="n"/>
      <c r="F12" s="80" t="n"/>
      <c r="G12" s="80" t="n"/>
    </row>
    <row r="13" ht="15" customHeight="1" s="46">
      <c r="B13" s="80" t="n"/>
      <c r="C13" s="80" t="n"/>
      <c r="D13" s="80" t="n"/>
      <c r="E13" s="80" t="n"/>
      <c r="F13" s="80" t="n"/>
      <c r="G13" s="80" t="n"/>
    </row>
    <row r="14" ht="15" customHeight="1" s="46">
      <c r="B14" s="80" t="n"/>
      <c r="C14" s="80" t="n"/>
      <c r="D14" s="80" t="n"/>
      <c r="E14" s="80" t="n"/>
      <c r="F14" s="80" t="n"/>
      <c r="G14" s="80" t="n"/>
    </row>
    <row r="15" ht="15" customHeight="1" s="46">
      <c r="B15" s="80" t="n"/>
      <c r="C15" s="80" t="n"/>
      <c r="D15" s="80" t="n"/>
      <c r="E15" s="80" t="n"/>
      <c r="F15" s="80" t="n"/>
      <c r="G15" s="80" t="n"/>
    </row>
    <row r="16" ht="15" customHeight="1" s="46">
      <c r="B16" s="80" t="n"/>
      <c r="C16" s="80" t="n"/>
      <c r="D16" s="80" t="n"/>
      <c r="E16" s="80" t="n"/>
      <c r="F16" s="80" t="n"/>
      <c r="G16" s="80" t="n"/>
    </row>
    <row r="17" ht="15" customHeight="1" s="46">
      <c r="B17" s="80" t="n"/>
      <c r="C17" s="80" t="n"/>
      <c r="D17" s="80" t="n"/>
      <c r="E17" s="80" t="n"/>
      <c r="F17" s="80" t="n"/>
      <c r="G17" s="80" t="n"/>
    </row>
    <row r="18" ht="15" customHeight="1" s="46">
      <c r="B18" s="80" t="n"/>
      <c r="C18" s="80" t="n"/>
      <c r="D18" s="80" t="n"/>
      <c r="E18" s="80" t="n"/>
      <c r="F18" s="80" t="n"/>
      <c r="G18" s="80" t="n"/>
    </row>
    <row r="19" ht="15" customHeight="1" s="46">
      <c r="B19" s="80" t="n"/>
      <c r="C19" s="80" t="n"/>
      <c r="D19" s="80" t="n"/>
      <c r="E19" s="80" t="n"/>
      <c r="F19" s="80" t="n"/>
      <c r="G19" s="80" t="n"/>
    </row>
    <row r="20" ht="15" customHeight="1" s="46">
      <c r="B20" s="80" t="n"/>
      <c r="C20" s="80" t="n"/>
      <c r="D20" s="80" t="n"/>
      <c r="E20" s="80" t="n"/>
      <c r="F20" s="80" t="n"/>
      <c r="G20" s="80" t="n"/>
    </row>
    <row r="21" ht="15" customHeight="1" s="46">
      <c r="B21" s="80" t="n"/>
      <c r="C21" s="80" t="n"/>
      <c r="D21" s="80" t="n"/>
      <c r="E21" s="80" t="n"/>
      <c r="F21" s="80" t="n"/>
      <c r="G21" s="80" t="n"/>
    </row>
    <row r="22" ht="15" customHeight="1" s="46">
      <c r="B22" s="80" t="n"/>
      <c r="C22" s="80" t="n"/>
      <c r="D22" s="80" t="n"/>
      <c r="E22" s="80" t="n"/>
      <c r="F22" s="80" t="n"/>
      <c r="G22" s="80" t="n"/>
    </row>
    <row r="23" ht="15" customHeight="1" s="46">
      <c r="B23" s="80" t="n"/>
      <c r="C23" s="80" t="n"/>
      <c r="D23" s="80" t="n"/>
      <c r="E23" s="80" t="n"/>
      <c r="F23" s="80" t="n"/>
      <c r="G23" s="80" t="n"/>
    </row>
    <row r="24" ht="15" customHeight="1" s="46">
      <c r="B24" s="80" t="n"/>
      <c r="C24" s="80" t="n"/>
      <c r="D24" s="80" t="n"/>
      <c r="E24" s="80" t="n"/>
      <c r="F24" s="80" t="n"/>
      <c r="G24" s="80" t="n"/>
    </row>
    <row r="25" ht="15" customHeight="1" s="46">
      <c r="B25" s="80" t="n"/>
      <c r="C25" s="80" t="n"/>
      <c r="D25" s="80" t="n"/>
      <c r="E25" s="80" t="n"/>
      <c r="F25" s="80" t="n"/>
      <c r="G25" s="80" t="n"/>
    </row>
    <row r="26" ht="15" customHeight="1" s="46">
      <c r="B26" s="80" t="n"/>
      <c r="C26" s="80" t="n"/>
      <c r="D26" s="80" t="n"/>
      <c r="E26" s="80" t="n"/>
      <c r="F26" s="80" t="n"/>
      <c r="G26" s="80" t="n"/>
    </row>
    <row r="27" ht="15" customHeight="1" s="46">
      <c r="B27" s="80" t="n"/>
      <c r="C27" s="80" t="n"/>
      <c r="D27" s="80" t="n"/>
      <c r="E27" s="80" t="n"/>
      <c r="F27" s="80" t="n"/>
      <c r="G27" s="80" t="n"/>
    </row>
    <row r="28" ht="15" customHeight="1" s="46">
      <c r="B28" s="80" t="n"/>
      <c r="C28" s="80" t="n"/>
      <c r="D28" s="80" t="n"/>
      <c r="E28" s="80" t="n"/>
      <c r="F28" s="80" t="n"/>
      <c r="G28" s="80" t="n"/>
    </row>
    <row r="29" ht="15" customHeight="1" s="46">
      <c r="B29" s="80" t="n"/>
      <c r="C29" s="80" t="n"/>
      <c r="D29" s="80" t="n"/>
      <c r="E29" s="80" t="n"/>
      <c r="F29" s="80" t="n"/>
      <c r="G29" s="80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8" customWidth="1" style="45" min="3" max="4"/>
    <col width="48" customWidth="1" style="45" min="5" max="5"/>
  </cols>
  <sheetData>
    <row r="2" ht="19.7" customHeight="1" s="46">
      <c r="B2" s="81" t="inlineStr">
        <is>
          <t>Debt Dynamics, Revenue Coverage, Reserves, and Fiscal Stress</t>
        </is>
      </c>
    </row>
    <row r="4" ht="15" customHeight="1" s="46">
      <c r="B4" s="82" t="inlineStr">
        <is>
          <t>Metric</t>
        </is>
      </c>
      <c r="C4" s="82" t="inlineStr">
        <is>
          <t>Base</t>
        </is>
      </c>
      <c r="D4" s="82" t="inlineStr">
        <is>
          <t>Adversarial</t>
        </is>
      </c>
      <c r="E4" s="82" t="inlineStr">
        <is>
          <t>Units / control</t>
        </is>
      </c>
    </row>
    <row r="5" ht="15" customHeight="1" s="46">
      <c r="B5" s="45" t="inlineStr">
        <is>
          <t>Opening debt ratio</t>
        </is>
      </c>
      <c r="C5" s="83" t="n">
        <v>0.6</v>
      </c>
      <c r="D5" s="84" t="n">
        <v>1.281</v>
      </c>
    </row>
    <row r="6" ht="15" customHeight="1" s="46">
      <c r="B6" s="45" t="inlineStr">
        <is>
          <t>Nominal interest rate</t>
        </is>
      </c>
      <c r="C6" s="85" t="n">
        <v>0.05</v>
      </c>
      <c r="D6" s="85" t="n">
        <v>0.1</v>
      </c>
    </row>
    <row r="7" ht="15" customHeight="1" s="46">
      <c r="B7" s="45" t="inlineStr">
        <is>
          <t>Nominal growth rate</t>
        </is>
      </c>
      <c r="C7" s="85" t="n">
        <v>0.04</v>
      </c>
      <c r="D7" s="85" t="n">
        <v>0.01</v>
      </c>
    </row>
    <row r="8" ht="15" customHeight="1" s="46">
      <c r="B8" s="45" t="inlineStr">
        <is>
          <t>Primary balance ratio</t>
        </is>
      </c>
      <c r="C8" s="85" t="n">
        <v>0.015</v>
      </c>
      <c r="D8" s="86" t="n">
        <v>-0.038</v>
      </c>
    </row>
    <row r="9" ht="15" customHeight="1" s="46">
      <c r="B9" s="45" t="inlineStr">
        <is>
          <t>Pledged revenue</t>
        </is>
      </c>
      <c r="C9" s="87" t="n">
        <v>120</v>
      </c>
      <c r="D9" s="87" t="n">
        <v>50</v>
      </c>
    </row>
    <row r="10" ht="15" customHeight="1" s="46">
      <c r="B10" s="45" t="inlineStr">
        <is>
          <t>Debt service</t>
        </is>
      </c>
      <c r="C10" s="87" t="n">
        <v>80</v>
      </c>
      <c r="D10" s="87" t="n">
        <v>70</v>
      </c>
    </row>
    <row r="11" ht="15" customHeight="1" s="46">
      <c r="B11" s="45" t="inlineStr">
        <is>
          <t>Unrestricted reserves</t>
        </is>
      </c>
      <c r="C11" s="87" t="n">
        <v>20</v>
      </c>
      <c r="D11" s="87" t="n">
        <v>5</v>
      </c>
    </row>
    <row r="12" ht="15" customHeight="1" s="46">
      <c r="B12" s="45" t="inlineStr">
        <is>
          <t>Operating expenditure</t>
        </is>
      </c>
      <c r="C12" s="87" t="n">
        <v>100</v>
      </c>
      <c r="D12" s="87" t="n">
        <v>100</v>
      </c>
    </row>
    <row r="13" ht="15" customHeight="1" s="46">
      <c r="B13" s="45" t="inlineStr">
        <is>
          <t>Maximum debt ratio</t>
        </is>
      </c>
      <c r="C13" s="83" t="n">
        <v>1</v>
      </c>
      <c r="D13" s="83" t="n">
        <v>1</v>
      </c>
    </row>
    <row r="14" ht="15" customHeight="1" s="46">
      <c r="B14" s="45" t="inlineStr">
        <is>
          <t>Minimum DSCR</t>
        </is>
      </c>
      <c r="C14" s="83" t="n">
        <v>1.2</v>
      </c>
      <c r="D14" s="83" t="n">
        <v>1.2</v>
      </c>
    </row>
    <row r="15" ht="15" customHeight="1" s="46">
      <c r="B15" s="45" t="inlineStr">
        <is>
          <t>Minimum reserve coverage</t>
        </is>
      </c>
      <c r="C15" s="85" t="n">
        <v>0.1</v>
      </c>
      <c r="D15" s="85" t="n">
        <v>0.1</v>
      </c>
    </row>
    <row r="19" ht="15" customHeight="1" s="46">
      <c r="B19" s="45" t="inlineStr">
        <is>
          <t>Projected debt ratio</t>
        </is>
      </c>
      <c r="C19" s="88">
        <f>((1+C6)/(1+C7))*C5-C8</f>
        <v/>
      </c>
      <c r="D19" s="88">
        <f>((1+D6)/(1+D7))*D5-D8</f>
        <v/>
      </c>
    </row>
    <row r="20" ht="15" customHeight="1" s="46">
      <c r="B20" s="45" t="inlineStr">
        <is>
          <t>Debt-stabilizing primary balance</t>
        </is>
      </c>
      <c r="C20" s="89">
        <f>((C6-C7)/(1+C7))*C5</f>
        <v/>
      </c>
      <c r="D20" s="89">
        <f>((D6-D7)/(1+D7))*D5</f>
        <v/>
      </c>
    </row>
    <row r="21" ht="15" customHeight="1" s="46">
      <c r="B21" s="45" t="inlineStr">
        <is>
          <t>Primary-balance gap</t>
        </is>
      </c>
      <c r="C21" s="89">
        <f>C8-C20</f>
        <v/>
      </c>
      <c r="D21" s="89">
        <f>D8-D20</f>
        <v/>
      </c>
    </row>
    <row r="22" ht="15" customHeight="1" s="46">
      <c r="B22" s="45" t="inlineStr">
        <is>
          <t>DSCR</t>
        </is>
      </c>
      <c r="C22" s="88">
        <f>IFERROR(C9/C10,0)</f>
        <v/>
      </c>
      <c r="D22" s="88">
        <f>IFERROR(D9/D10,0)</f>
        <v/>
      </c>
    </row>
    <row r="23" ht="15" customHeight="1" s="46">
      <c r="B23" s="45" t="inlineStr">
        <is>
          <t>Reserve coverage</t>
        </is>
      </c>
      <c r="C23" s="89">
        <f>IFERROR(C11/C12,0)</f>
        <v/>
      </c>
      <c r="D23" s="89">
        <f>IFERROR(D11/D12,0)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8" customWidth="1" style="45" min="3" max="4"/>
    <col width="54" customWidth="1" style="45" min="5" max="5"/>
  </cols>
  <sheetData>
    <row r="2" ht="19.7" customHeight="1" s="46">
      <c r="B2" s="81" t="inlineStr">
        <is>
          <t>Public Finance Decision Dashboard and Independent Checks</t>
        </is>
      </c>
    </row>
    <row r="4" ht="15" customHeight="1" s="46">
      <c r="B4" s="82" t="inlineStr">
        <is>
          <t>Check / decision</t>
        </is>
      </c>
      <c r="C4" s="82" t="inlineStr">
        <is>
          <t>Metric</t>
        </is>
      </c>
      <c r="D4" s="82" t="inlineStr">
        <is>
          <t>Status</t>
        </is>
      </c>
      <c r="E4" s="82" t="inlineStr">
        <is>
          <t>Interpretation / action</t>
        </is>
      </c>
    </row>
    <row r="5" ht="15" customHeight="1" s="46">
      <c r="B5" s="45" t="inlineStr">
        <is>
          <t>Debt-ratio identity residual</t>
        </is>
      </c>
      <c r="C5" s="90">
        <f>'Revenue Stress'!D19-(((1+'Revenue Stress'!D6)/(1+'Revenue Stress'!D7))*'Revenue Stress'!D5-'Revenue Stress'!D8)</f>
        <v/>
      </c>
      <c r="D5" s="91">
        <f>IF(ABS(C5)&lt;0.000001,"PASS","FAIL")</f>
        <v/>
      </c>
      <c r="E5" s="45" t="inlineStr">
        <is>
          <t>Projected debt must follow the debt-dynamics identity.</t>
        </is>
      </c>
    </row>
    <row r="6" ht="15" customHeight="1" s="46">
      <c r="B6" s="45" t="inlineStr">
        <is>
          <t>Stabilizing-balance residual</t>
        </is>
      </c>
      <c r="C6" s="90">
        <f>'Revenue Stress'!D20-((('Revenue Stress'!D6-'Revenue Stress'!D7)/(1+'Revenue Stress'!D7))*'Revenue Stress'!D5)</f>
        <v/>
      </c>
      <c r="D6" s="91">
        <f>IF(ABS(C6)&lt;0.000001,"PASS","FAIL")</f>
        <v/>
      </c>
      <c r="E6" s="45" t="inlineStr">
        <is>
          <t>Required primary balance must reconcile to r-g and opening debt.</t>
        </is>
      </c>
    </row>
    <row r="7" ht="15" customHeight="1" s="46">
      <c r="B7" s="45" t="inlineStr">
        <is>
          <t>Projected debt ratio</t>
        </is>
      </c>
      <c r="C7" s="90">
        <f>'Revenue Stress'!D19</f>
        <v/>
      </c>
      <c r="D7" s="91">
        <f>IF(C7&lt;='Revenue Stress'!D13,"PASS","BREACH")</f>
        <v/>
      </c>
      <c r="E7" s="45" t="inlineStr">
        <is>
          <t>Escalate debt trajectories above the approved ceiling.</t>
        </is>
      </c>
    </row>
    <row r="8" ht="15" customHeight="1" s="46">
      <c r="B8" s="45" t="inlineStr">
        <is>
          <t>Primary-balance gap</t>
        </is>
      </c>
      <c r="C8" s="90">
        <f>'Revenue Stress'!D21</f>
        <v/>
      </c>
      <c r="D8" s="91">
        <f>IF(C8&gt;=0,"PASS","BREACH")</f>
        <v/>
      </c>
      <c r="E8" s="45" t="inlineStr">
        <is>
          <t>A negative gap implies a destabilizing fiscal stance.</t>
        </is>
      </c>
    </row>
    <row r="9" ht="15" customHeight="1" s="46">
      <c r="B9" s="45" t="inlineStr">
        <is>
          <t>Debt-service coverage</t>
        </is>
      </c>
      <c r="C9" s="90">
        <f>'Revenue Stress'!D22</f>
        <v/>
      </c>
      <c r="D9" s="91">
        <f>IF(C9&gt;='Revenue Stress'!D14,"PASS","BREACH")</f>
        <v/>
      </c>
      <c r="E9" s="45" t="inlineStr">
        <is>
          <t>Pledged revenue must cover scheduled debt service.</t>
        </is>
      </c>
    </row>
    <row r="10" ht="15" customHeight="1" s="46">
      <c r="B10" s="45" t="inlineStr">
        <is>
          <t>Reserve coverage</t>
        </is>
      </c>
      <c r="C10" s="90">
        <f>'Revenue Stress'!D23</f>
        <v/>
      </c>
      <c r="D10" s="91">
        <f>IF(C10&gt;='Revenue Stress'!D15,"PASS","BREACH")</f>
        <v/>
      </c>
      <c r="E10" s="45" t="inlineStr">
        <is>
          <t>Unrestricted reserves must cover the approved expenditure buffer.</t>
        </is>
      </c>
    </row>
    <row r="12" ht="15" customHeight="1" s="46">
      <c r="B12" s="92" t="inlineStr">
        <is>
          <t>Overall model status</t>
        </is>
      </c>
      <c r="C12" s="93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2026-08-04T17:34:23Z</dcterms:created>
  <dcterms:modified xmlns:dcterms="http://purl.org/dc/terms/" xmlns:xsi="http://www.w3.org/2001/XMLSchema-instance" xsi:type="dcterms:W3CDTF">2026-08-04T18:30:43Z</dcterms:modified>
  <cp:revision>0</cp:revision>
</cp:coreProperties>
</file>