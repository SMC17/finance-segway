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stitutional Surface" sheetId="2" state="visible" r:id="rId2"/>
    <sheet name="Challenge Log" sheetId="3" state="visible" r:id="rId3"/>
    <sheet name="Lineage Map" sheetId="4" state="visible" r:id="rId4"/>
    <sheet name="Assumptions" sheetId="5" state="visible" r:id="rId5"/>
    <sheet name="Debt Sustainability" sheetId="6" state="visible" r:id="rId6"/>
    <sheet name="Revenue &amp; Expenditure" sheetId="7" state="visible" r:id="rId7"/>
    <sheet name="Debt Service" sheetId="8" state="visible" r:id="rId8"/>
    <sheet name="Coverage" sheetId="9" state="visible" r:id="rId9"/>
    <sheet name="Scenarios" sheetId="10" state="visible" r:id="rId10"/>
    <sheet name="Sensitivity" sheetId="11" state="visible" r:id="rId11"/>
    <sheet name="Checks" sheetId="12" state="visible" r:id="rId12"/>
    <sheet name="Sources" sheetId="13" state="visible" r:id="rId13"/>
    <sheet name="RefreshLog" sheetId="14" state="visible" r:id="rId14"/>
  </sheets>
  <definedNames>
    <definedName name="FS_MODEL_ID">'Institutional Surface'!$C$4</definedName>
    <definedName name="FS_DOMAIN">'Institutional Surface'!$C$5</definedName>
    <definedName name="FS_MATURITY">'Institutional Surface'!$C$6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5">
    <numFmt numFmtId="164" formatCode="#,##0;[Red](#,##0);-"/>
    <numFmt numFmtId="165" formatCode="$#,##0.0;[Red]($#,##0.0);-"/>
    <numFmt numFmtId="166" formatCode="0.0%;[Red](0.0%);-"/>
    <numFmt numFmtId="167" formatCode="0.0x;[Red](0.0x);-"/>
    <numFmt numFmtId="168" formatCode="0.0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11827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color rgb="00111827"/>
      <sz val="10"/>
    </font>
    <font>
      <name val="Arial"/>
      <b val="1"/>
      <color rgb="000000FF"/>
      <sz val="10"/>
    </font>
    <font>
      <name val="Arial"/>
      <b val="1"/>
      <color rgb="00008000"/>
      <sz val="10"/>
    </font>
    <font>
      <name val="Arial"/>
      <color rgb="00008000"/>
      <sz val="10"/>
    </font>
    <font>
      <b val="1"/>
      <color rgb="00FFFFFF"/>
      <sz val="15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17365D"/>
      </patternFill>
    </fill>
    <fill>
      <patternFill patternType="solid">
        <fgColor rgb="00D9EAF7"/>
      </patternFill>
    </fill>
  </fills>
  <borders count="4">
    <border>
      <left/>
      <right/>
      <top/>
      <bottom/>
      <diagonal/>
    </border>
    <border>
      <bottom style="thin">
        <color rgb="00BFBFBF"/>
      </bottom>
    </border>
    <border>
      <top style="thin">
        <color rgb="00111827"/>
      </top>
    </border>
    <border>
      <bottom style="thin">
        <color rgb="00B7B7B7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1" pivotButton="0" quotePrefix="0" xfId="0"/>
    <xf numFmtId="0" fontId="4" fillId="2" borderId="0" pivotButton="0" quotePrefix="0" xfId="0"/>
    <xf numFmtId="0" fontId="6" fillId="3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4" fontId="3" fillId="3" borderId="1" pivotButton="0" quotePrefix="0" xfId="0"/>
    <xf numFmtId="164" fontId="8" fillId="0" borderId="0" pivotButton="0" quotePrefix="0" xfId="0"/>
    <xf numFmtId="165" fontId="3" fillId="3" borderId="1" pivotButton="0" quotePrefix="0" xfId="0"/>
    <xf numFmtId="165" fontId="8" fillId="0" borderId="0" pivotButton="0" quotePrefix="0" xfId="0"/>
    <xf numFmtId="166" fontId="3" fillId="3" borderId="1" pivotButton="0" quotePrefix="0" xfId="0"/>
    <xf numFmtId="166" fontId="8" fillId="0" borderId="0" pivotButton="0" quotePrefix="0" xfId="0"/>
    <xf numFmtId="167" fontId="3" fillId="3" borderId="1" pivotButton="0" quotePrefix="0" xfId="0"/>
    <xf numFmtId="167" fontId="8" fillId="0" borderId="0" pivotButton="0" quotePrefix="0" xfId="0"/>
    <xf numFmtId="168" fontId="3" fillId="3" borderId="1" pivotButton="0" quotePrefix="0" xfId="0"/>
    <xf numFmtId="168" fontId="8" fillId="0" borderId="0" pivotButton="0" quotePrefix="0" xfId="0"/>
    <xf numFmtId="167" fontId="0" fillId="0" borderId="0" pivotButton="0" quotePrefix="0" xfId="0"/>
    <xf numFmtId="166" fontId="0" fillId="0" borderId="0" pivotButton="0" quotePrefix="0" xfId="0"/>
    <xf numFmtId="165" fontId="0" fillId="0" borderId="0" pivotButton="0" quotePrefix="0" xfId="0"/>
    <xf numFmtId="0" fontId="2" fillId="0" borderId="2" pivotButton="0" quotePrefix="0" xfId="0"/>
    <xf numFmtId="165" fontId="2" fillId="0" borderId="2" pivotButton="0" quotePrefix="0" xfId="0"/>
    <xf numFmtId="168" fontId="0" fillId="0" borderId="0" pivotButton="0" quotePrefix="0" xfId="0"/>
    <xf numFmtId="166" fontId="4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0" fillId="0" borderId="1" pivotButton="0" quotePrefix="0" xfId="0"/>
    <xf numFmtId="0" fontId="9" fillId="4" borderId="0" pivotButton="0" quotePrefix="0" xfId="0"/>
    <xf numFmtId="0" fontId="10" fillId="0" borderId="0" pivotButton="0" quotePrefix="0" xfId="0"/>
    <xf numFmtId="0" fontId="0" fillId="0" borderId="0" applyAlignment="1" pivotButton="0" quotePrefix="0" xfId="0">
      <alignment wrapText="1"/>
    </xf>
    <xf numFmtId="0" fontId="11" fillId="4" borderId="0" pivotButton="0" quotePrefix="0" xfId="0"/>
    <xf numFmtId="0" fontId="10" fillId="5" borderId="3" applyAlignment="1" pivotButton="0" quotePrefix="0" xfId="0">
      <alignment wrapText="1"/>
    </xf>
  </cellXfs>
  <cellStyles count="1">
    <cellStyle name="Normal" xfId="0" builtinId="0" hidden="0"/>
  </cellStyles>
  <dxfs count="3">
    <dxf>
      <fill>
        <patternFill patternType="solid">
          <fgColor rgb="00E2F0D9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1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36" customWidth="1" min="2" max="2"/>
    <col width="46" customWidth="1" min="3" max="3"/>
    <col width="12" customWidth="1" min="4" max="4"/>
    <col width="12" customWidth="1" min="5" max="5"/>
    <col width="12" customWidth="1" min="6" max="6"/>
  </cols>
  <sheetData>
    <row r="2" ht="28" customHeight="1">
      <c r="B2" s="1" t="inlineStr">
        <is>
          <t>[ISSUER] — Public Finance Credit Model</t>
        </is>
      </c>
    </row>
    <row r="4">
      <c r="B4" s="2" t="inlineStr">
        <is>
          <t>Issuer:</t>
        </is>
      </c>
      <c r="C4" s="3" t="inlineStr">
        <is>
          <t>[Sovereign / state / municipality / authority]</t>
        </is>
      </c>
    </row>
    <row r="5">
      <c r="B5" s="2" t="inlineStr">
        <is>
          <t>Instrument:</t>
        </is>
      </c>
      <c r="C5" s="3" t="inlineStr">
        <is>
          <t>GO / revenue bond / sovereign note</t>
        </is>
      </c>
    </row>
    <row r="6">
      <c r="B6" s="2" t="inlineStr">
        <is>
          <t>Last refreshed:</t>
        </is>
      </c>
      <c r="C6" s="3" t="inlineStr">
        <is>
          <t>[date]</t>
        </is>
      </c>
    </row>
    <row r="7">
      <c r="B7" s="2" t="inlineStr">
        <is>
          <t>Next payment / issuance:</t>
        </is>
      </c>
      <c r="C7" s="3" t="inlineStr">
        <is>
          <t>[date]</t>
        </is>
      </c>
    </row>
    <row r="8">
      <c r="B8" s="2" t="inlineStr">
        <is>
          <t>Refresh cadence:</t>
        </is>
      </c>
      <c r="C8" s="3" t="inlineStr">
        <is>
          <t>Weekly</t>
        </is>
      </c>
    </row>
    <row r="9">
      <c r="B9" s="2" t="inlineStr">
        <is>
          <t>Active scenario:</t>
        </is>
      </c>
      <c r="C9" s="3" t="inlineStr">
        <is>
          <t>Base</t>
        </is>
      </c>
    </row>
    <row r="10">
      <c r="B10" s="2" t="inlineStr">
        <is>
          <t>Units:</t>
        </is>
      </c>
      <c r="C10" s="3" t="inlineStr">
        <is>
          <t>$ in millions unless noted</t>
        </is>
      </c>
    </row>
    <row r="13">
      <c r="B13" s="4" t="inlineStr">
        <is>
          <t>Modeling conventions</t>
        </is>
      </c>
    </row>
    <row r="14">
      <c r="B14" s="5" t="inlineStr">
        <is>
          <t>Blue text / yellow fill</t>
        </is>
      </c>
      <c r="C14" s="6" t="inlineStr">
        <is>
          <t>Hardcoded input or selected scenario</t>
        </is>
      </c>
    </row>
    <row r="15">
      <c r="B15" s="2" t="inlineStr">
        <is>
          <t>Black text</t>
        </is>
      </c>
      <c r="C15" s="6" t="inlineStr">
        <is>
          <t>Formula / same-sheet calculation</t>
        </is>
      </c>
    </row>
    <row r="16">
      <c r="B16" s="7" t="inlineStr">
        <is>
          <t>Green text</t>
        </is>
      </c>
      <c r="C16" s="6" t="inlineStr">
        <is>
          <t>Cross-sheet formula / link</t>
        </is>
      </c>
    </row>
    <row r="17">
      <c r="B17" s="2" t="inlineStr">
        <is>
          <t>Checks</t>
        </is>
      </c>
      <c r="C17" s="6" t="inlineStr">
        <is>
          <t>PASS / REVIEW / FAIL must remain visible</t>
        </is>
      </c>
    </row>
  </sheetData>
  <mergeCells count="2">
    <mergeCell ref="B2:F2"/>
    <mergeCell ref="B13:F13"/>
  </mergeCells>
  <dataValidations count="1">
    <dataValidation sqref="C9" showDropDown="0" showInputMessage="0" showErrorMessage="0" allowBlank="0" type="list">
      <formula1>"Base,Downside"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6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2" max="2"/>
    <col width="48" customWidth="1" min="3" max="3"/>
    <col width="24" customWidth="1" min="4" max="4"/>
    <col width="34" customWidth="1" min="5" max="5"/>
    <col width="20" customWidth="1" min="6" max="6"/>
  </cols>
  <sheetData>
    <row r="2">
      <c r="B2" s="28" t="inlineStr">
        <is>
          <t>Public Finance — Institutional Decision Surface</t>
        </is>
      </c>
    </row>
    <row r="4">
      <c r="B4" s="29" t="inlineStr">
        <is>
          <t>Model ID</t>
        </is>
      </c>
      <c r="C4" s="30" t="inlineStr">
        <is>
          <t>07</t>
        </is>
      </c>
    </row>
    <row r="5">
      <c r="B5" s="29" t="inlineStr">
        <is>
          <t>Domain</t>
        </is>
      </c>
      <c r="C5" s="30" t="inlineStr">
        <is>
          <t>Public Finance</t>
        </is>
      </c>
    </row>
    <row r="6">
      <c r="B6" s="29" t="inlineStr">
        <is>
          <t>Declared maturity</t>
        </is>
      </c>
      <c r="C6" s="30" t="inlineStr">
        <is>
          <t>M2</t>
        </is>
      </c>
    </row>
    <row r="7">
      <c r="B7" s="29" t="inlineStr">
        <is>
          <t>Canonical builder</t>
        </is>
      </c>
      <c r="C7" s="30" t="inlineStr">
        <is>
          <t>tools/builders/build_public_finance_template.py</t>
        </is>
      </c>
    </row>
    <row r="8">
      <c r="B8" s="29" t="inlineStr">
        <is>
          <t>Decision arena</t>
        </is>
      </c>
      <c r="C8" s="30" t="inlineStr">
        <is>
          <t>debt management office, budget office, governing body, investors and rating agencies</t>
        </is>
      </c>
    </row>
    <row r="9">
      <c r="B9" s="29" t="inlineStr">
        <is>
          <t>Committee artifact</t>
        </is>
      </c>
      <c r="C9" s="30" t="inlineStr">
        <is>
          <t>debt-affordability and authorization package</t>
        </is>
      </c>
    </row>
    <row r="10">
      <c r="B10" s="29" t="inlineStr">
        <is>
          <t>Operating cadence</t>
        </is>
      </c>
      <c r="C10" s="30" t="inlineStr">
        <is>
          <t>monthly budget; quarterly debt; annual DSA</t>
        </is>
      </c>
    </row>
    <row r="12">
      <c r="B12" s="31" t="inlineStr">
        <is>
          <t>Key decision outputs</t>
        </is>
      </c>
    </row>
    <row r="13">
      <c r="B13" s="32" t="inlineStr">
        <is>
          <t>#</t>
        </is>
      </c>
      <c r="C13" s="32" t="inlineStr">
        <is>
          <t>Requirement</t>
        </is>
      </c>
      <c r="D13" s="32" t="inlineStr">
        <is>
          <t>Owner</t>
        </is>
      </c>
      <c r="E13" s="32" t="inlineStr">
        <is>
          <t>Evidence / location</t>
        </is>
      </c>
      <c r="F13" s="32" t="inlineStr">
        <is>
          <t>Status</t>
        </is>
      </c>
    </row>
    <row r="14">
      <c r="B14" t="n">
        <v>1</v>
      </c>
      <c r="C14" t="inlineStr">
        <is>
          <t>debt-to-revenue / GDP path</t>
        </is>
      </c>
      <c r="D14" t="inlineStr"/>
      <c r="E14" t="inlineStr"/>
      <c r="F14" t="inlineStr">
        <is>
          <t>OPEN</t>
        </is>
      </c>
    </row>
    <row r="15">
      <c r="B15" t="n">
        <v>2</v>
      </c>
      <c r="C15" t="inlineStr">
        <is>
          <t>primary balance and debt-stabilizing balance</t>
        </is>
      </c>
      <c r="D15" t="inlineStr"/>
      <c r="E15" t="inlineStr"/>
      <c r="F15" t="inlineStr">
        <is>
          <t>OPEN</t>
        </is>
      </c>
    </row>
    <row r="16">
      <c r="B16" t="n">
        <v>3</v>
      </c>
      <c r="C16" t="inlineStr">
        <is>
          <t>debt service coverage and reserves</t>
        </is>
      </c>
      <c r="D16" t="inlineStr"/>
      <c r="E16" t="inlineStr"/>
      <c r="F16" t="inlineStr">
        <is>
          <t>OPEN</t>
        </is>
      </c>
    </row>
    <row r="17">
      <c r="B17" t="n">
        <v>4</v>
      </c>
      <c r="C17" t="inlineStr">
        <is>
          <t>base, downside and break-even outputs</t>
        </is>
      </c>
      <c r="D17" t="inlineStr"/>
      <c r="E17" t="inlineStr"/>
      <c r="F17" t="inlineStr">
        <is>
          <t>OPEN</t>
        </is>
      </c>
    </row>
    <row r="18">
      <c r="B18" t="n">
        <v>5</v>
      </c>
      <c r="C18" t="inlineStr">
        <is>
          <t>liquidity / funding requirement and binding constraint</t>
        </is>
      </c>
      <c r="D18" t="inlineStr"/>
      <c r="E18" t="inlineStr"/>
      <c r="F18" t="inlineStr">
        <is>
          <t>OPEN</t>
        </is>
      </c>
    </row>
    <row r="20">
      <c r="B20" s="31" t="inlineStr">
        <is>
          <t>Insider questions</t>
        </is>
      </c>
    </row>
    <row r="21">
      <c r="B21" s="32" t="inlineStr">
        <is>
          <t>#</t>
        </is>
      </c>
      <c r="C21" s="32" t="inlineStr">
        <is>
          <t>Requirement</t>
        </is>
      </c>
      <c r="D21" s="32" t="inlineStr">
        <is>
          <t>Owner</t>
        </is>
      </c>
      <c r="E21" s="32" t="inlineStr">
        <is>
          <t>Evidence / location</t>
        </is>
      </c>
      <c r="F21" s="32" t="inlineStr">
        <is>
          <t>Status</t>
        </is>
      </c>
    </row>
    <row r="22">
      <c r="B22" t="n">
        <v>1</v>
      </c>
      <c r="C22" t="inlineStr">
        <is>
          <t>What revenues are legally pledged?</t>
        </is>
      </c>
      <c r="D22" t="inlineStr"/>
      <c r="E22" t="inlineStr"/>
      <c r="F22" t="inlineStr">
        <is>
          <t>OPEN</t>
        </is>
      </c>
    </row>
    <row r="23">
      <c r="B23" t="n">
        <v>2</v>
      </c>
      <c r="C23" t="inlineStr">
        <is>
          <t>Which reserves are actually spendable?</t>
        </is>
      </c>
      <c r="D23" t="inlineStr"/>
      <c r="E23" t="inlineStr"/>
      <c r="F23" t="inlineStr">
        <is>
          <t>OPEN</t>
        </is>
      </c>
    </row>
    <row r="24">
      <c r="B24" t="n">
        <v>3</v>
      </c>
      <c r="C24" t="inlineStr">
        <is>
          <t>What is the refinancing share over the next three years?</t>
        </is>
      </c>
      <c r="D24" t="inlineStr"/>
      <c r="E24" t="inlineStr"/>
      <c r="F24" t="inlineStr">
        <is>
          <t>OPEN</t>
        </is>
      </c>
    </row>
    <row r="25">
      <c r="B25" t="n">
        <v>4</v>
      </c>
      <c r="C25" t="inlineStr">
        <is>
          <t>Which assumption is owner-approved versus modeler judgement?</t>
        </is>
      </c>
      <c r="D25" t="inlineStr"/>
      <c r="E25" t="inlineStr"/>
      <c r="F25" t="inlineStr">
        <is>
          <t>OPEN</t>
        </is>
      </c>
    </row>
    <row r="26">
      <c r="B26" t="n">
        <v>5</v>
      </c>
      <c r="C26" t="inlineStr">
        <is>
          <t>What fails first and who must act?</t>
        </is>
      </c>
      <c r="D26" t="inlineStr"/>
      <c r="E26" t="inlineStr"/>
      <c r="F26" t="inlineStr">
        <is>
          <t>OPEN</t>
        </is>
      </c>
    </row>
    <row r="28">
      <c r="B28" s="31" t="inlineStr">
        <is>
          <t>Scenario families</t>
        </is>
      </c>
    </row>
    <row r="29">
      <c r="B29" s="32" t="inlineStr">
        <is>
          <t>#</t>
        </is>
      </c>
      <c r="C29" s="32" t="inlineStr">
        <is>
          <t>Requirement</t>
        </is>
      </c>
      <c r="D29" s="32" t="inlineStr">
        <is>
          <t>Owner</t>
        </is>
      </c>
      <c r="E29" s="32" t="inlineStr">
        <is>
          <t>Evidence / location</t>
        </is>
      </c>
      <c r="F29" s="32" t="inlineStr">
        <is>
          <t>Status</t>
        </is>
      </c>
    </row>
    <row r="30">
      <c r="B30" t="n">
        <v>1</v>
      </c>
      <c r="C30" t="inlineStr">
        <is>
          <t>growth and revenue shock</t>
        </is>
      </c>
      <c r="D30" t="inlineStr"/>
      <c r="E30" t="inlineStr"/>
      <c r="F30" t="inlineStr">
        <is>
          <t>OPEN</t>
        </is>
      </c>
    </row>
    <row r="31">
      <c r="B31" t="n">
        <v>2</v>
      </c>
      <c r="C31" t="inlineStr">
        <is>
          <t>rate / FX shock</t>
        </is>
      </c>
      <c r="D31" t="inlineStr"/>
      <c r="E31" t="inlineStr"/>
      <c r="F31" t="inlineStr">
        <is>
          <t>OPEN</t>
        </is>
      </c>
    </row>
    <row r="32">
      <c r="B32" t="n">
        <v>3</v>
      </c>
      <c r="C32" t="inlineStr">
        <is>
          <t>primary-balance slippage</t>
        </is>
      </c>
      <c r="D32" t="inlineStr"/>
      <c r="E32" t="inlineStr"/>
      <c r="F32" t="inlineStr">
        <is>
          <t>OPEN</t>
        </is>
      </c>
    </row>
    <row r="33">
      <c r="B33" t="n">
        <v>4</v>
      </c>
      <c r="C33" t="inlineStr">
        <is>
          <t>data freshness / source failure</t>
        </is>
      </c>
      <c r="D33" t="inlineStr"/>
      <c r="E33" t="inlineStr"/>
      <c r="F33" t="inlineStr">
        <is>
          <t>OPEN</t>
        </is>
      </c>
    </row>
    <row r="34">
      <c r="B34" t="n">
        <v>5</v>
      </c>
      <c r="C34" t="inlineStr">
        <is>
          <t>combined severe-but-plausible downside</t>
        </is>
      </c>
      <c r="D34" t="inlineStr"/>
      <c r="E34" t="inlineStr"/>
      <c r="F34" t="inlineStr">
        <is>
          <t>OPEN</t>
        </is>
      </c>
    </row>
    <row r="36">
      <c r="B36" s="31" t="inlineStr">
        <is>
          <t>Primary diligence documents</t>
        </is>
      </c>
    </row>
    <row r="37">
      <c r="B37" s="32" t="inlineStr">
        <is>
          <t>#</t>
        </is>
      </c>
      <c r="C37" s="32" t="inlineStr">
        <is>
          <t>Requirement</t>
        </is>
      </c>
      <c r="D37" s="32" t="inlineStr">
        <is>
          <t>Owner</t>
        </is>
      </c>
      <c r="E37" s="32" t="inlineStr">
        <is>
          <t>Evidence / location</t>
        </is>
      </c>
      <c r="F37" s="32" t="inlineStr">
        <is>
          <t>Status</t>
        </is>
      </c>
    </row>
    <row r="38">
      <c r="B38" t="n">
        <v>1</v>
      </c>
      <c r="C38" t="inlineStr">
        <is>
          <t>official budget and CAFR/ACFR</t>
        </is>
      </c>
      <c r="D38" t="inlineStr"/>
      <c r="E38" t="inlineStr"/>
      <c r="F38" t="inlineStr">
        <is>
          <t>OPEN</t>
        </is>
      </c>
    </row>
    <row r="39">
      <c r="B39" t="n">
        <v>2</v>
      </c>
      <c r="C39" t="inlineStr">
        <is>
          <t>debt policy and authorization</t>
        </is>
      </c>
      <c r="D39" t="inlineStr"/>
      <c r="E39" t="inlineStr"/>
      <c r="F39" t="inlineStr">
        <is>
          <t>OPEN</t>
        </is>
      </c>
    </row>
    <row r="40">
      <c r="B40" t="n">
        <v>3</v>
      </c>
      <c r="C40" t="inlineStr">
        <is>
          <t>official statement</t>
        </is>
      </c>
      <c r="D40" t="inlineStr"/>
      <c r="E40" t="inlineStr"/>
      <c r="F40" t="inlineStr">
        <is>
          <t>OPEN</t>
        </is>
      </c>
    </row>
    <row r="41">
      <c r="B41" t="n">
        <v>4</v>
      </c>
      <c r="C41" t="inlineStr">
        <is>
          <t>approved model card and assumption register</t>
        </is>
      </c>
      <c r="D41" t="inlineStr"/>
      <c r="E41" t="inlineStr"/>
      <c r="F41" t="inlineStr">
        <is>
          <t>OPEN</t>
        </is>
      </c>
    </row>
    <row r="42">
      <c r="B42" t="n">
        <v>5</v>
      </c>
      <c r="C42" t="inlineStr">
        <is>
          <t>independent validation and challenge record</t>
        </is>
      </c>
      <c r="D42" t="inlineStr"/>
      <c r="E42" t="inlineStr"/>
      <c r="F42" t="inlineStr">
        <is>
          <t>OPEN</t>
        </is>
      </c>
    </row>
    <row r="44">
      <c r="B44" s="31" t="inlineStr">
        <is>
          <t>Challenge tests</t>
        </is>
      </c>
    </row>
    <row r="45">
      <c r="B45" s="32" t="inlineStr">
        <is>
          <t>#</t>
        </is>
      </c>
      <c r="C45" s="32" t="inlineStr">
        <is>
          <t>Requirement</t>
        </is>
      </c>
      <c r="D45" s="32" t="inlineStr">
        <is>
          <t>Owner</t>
        </is>
      </c>
      <c r="E45" s="32" t="inlineStr">
        <is>
          <t>Evidence / location</t>
        </is>
      </c>
      <c r="F45" s="32" t="inlineStr">
        <is>
          <t>Status</t>
        </is>
      </c>
    </row>
    <row r="46">
      <c r="B46" t="n">
        <v>1</v>
      </c>
      <c r="C46" t="inlineStr">
        <is>
          <t>debt dynamics identity</t>
        </is>
      </c>
      <c r="D46" t="inlineStr"/>
      <c r="E46" t="inlineStr"/>
      <c r="F46" t="inlineStr">
        <is>
          <t>OPEN</t>
        </is>
      </c>
    </row>
    <row r="47">
      <c r="B47" t="n">
        <v>2</v>
      </c>
      <c r="C47" t="inlineStr">
        <is>
          <t>coverage definition matches pledge</t>
        </is>
      </c>
      <c r="D47" t="inlineStr"/>
      <c r="E47" t="inlineStr"/>
      <c r="F47" t="inlineStr">
        <is>
          <t>OPEN</t>
        </is>
      </c>
    </row>
    <row r="48">
      <c r="B48" t="n">
        <v>3</v>
      </c>
      <c r="C48" t="inlineStr">
        <is>
          <t>reserves exclude restricted funds</t>
        </is>
      </c>
      <c r="D48" t="inlineStr"/>
      <c r="E48" t="inlineStr"/>
      <c r="F48" t="inlineStr">
        <is>
          <t>OPEN</t>
        </is>
      </c>
    </row>
    <row r="49">
      <c r="B49" t="n">
        <v>4</v>
      </c>
      <c r="C49" t="inlineStr">
        <is>
          <t>source-to-model lineage is reproducible</t>
        </is>
      </c>
      <c r="D49" t="inlineStr"/>
      <c r="E49" t="inlineStr"/>
      <c r="F49" t="inlineStr">
        <is>
          <t>OPEN</t>
        </is>
      </c>
    </row>
    <row r="50">
      <c r="B50" t="n">
        <v>5</v>
      </c>
      <c r="C50" t="inlineStr">
        <is>
          <t>units, signs, dates and legal definitions reconcile</t>
        </is>
      </c>
      <c r="D50" t="inlineStr"/>
      <c r="E50" t="inlineStr"/>
      <c r="F50" t="inlineStr">
        <is>
          <t>OPEN</t>
        </is>
      </c>
    </row>
    <row r="52">
      <c r="B52" s="31" t="inlineStr">
        <is>
          <t>Known failure modes</t>
        </is>
      </c>
    </row>
    <row r="53">
      <c r="B53" s="32" t="inlineStr">
        <is>
          <t>#</t>
        </is>
      </c>
      <c r="C53" s="32" t="inlineStr">
        <is>
          <t>Requirement</t>
        </is>
      </c>
      <c r="D53" s="32" t="inlineStr">
        <is>
          <t>Owner</t>
        </is>
      </c>
      <c r="E53" s="32" t="inlineStr">
        <is>
          <t>Evidence / location</t>
        </is>
      </c>
      <c r="F53" s="32" t="inlineStr">
        <is>
          <t>Status</t>
        </is>
      </c>
    </row>
    <row r="54">
      <c r="B54" t="n">
        <v>1</v>
      </c>
      <c r="C54" t="inlineStr">
        <is>
          <t>mixing cash and accrual bases</t>
        </is>
      </c>
      <c r="D54" t="inlineStr"/>
      <c r="E54" t="inlineStr"/>
      <c r="F54" t="inlineStr">
        <is>
          <t>OPEN</t>
        </is>
      </c>
    </row>
    <row r="55">
      <c r="B55" t="n">
        <v>2</v>
      </c>
      <c r="C55" t="inlineStr">
        <is>
          <t>treating one-time transfers as recurring</t>
        </is>
      </c>
      <c r="D55" t="inlineStr"/>
      <c r="E55" t="inlineStr"/>
      <c r="F55" t="inlineStr">
        <is>
          <t>OPEN</t>
        </is>
      </c>
    </row>
    <row r="56">
      <c r="B56" t="n">
        <v>3</v>
      </c>
      <c r="C56" t="inlineStr">
        <is>
          <t>ignoring overlapping debt and pensions</t>
        </is>
      </c>
      <c r="D56" t="inlineStr"/>
      <c r="E56" t="inlineStr"/>
      <c r="F56" t="inlineStr">
        <is>
          <t>OPEN</t>
        </is>
      </c>
    </row>
    <row r="57">
      <c r="B57" t="n">
        <v>4</v>
      </c>
      <c r="C57" t="inlineStr">
        <is>
          <t>stale vintage presented as current</t>
        </is>
      </c>
      <c r="D57" t="inlineStr"/>
      <c r="E57" t="inlineStr"/>
      <c r="F57" t="inlineStr">
        <is>
          <t>OPEN</t>
        </is>
      </c>
    </row>
    <row r="58">
      <c r="B58" t="n">
        <v>5</v>
      </c>
      <c r="C58" t="inlineStr">
        <is>
          <t>decision output disconnected from a binding constraint</t>
        </is>
      </c>
      <c r="D58" t="inlineStr"/>
      <c r="E58" t="inlineStr"/>
      <c r="F58" t="inlineStr">
        <is>
          <t>OPEN</t>
        </is>
      </c>
    </row>
    <row r="60">
      <c r="B60" s="31" t="inlineStr">
        <is>
          <t>Regulatory / methodological anchors</t>
        </is>
      </c>
    </row>
    <row r="61">
      <c r="B61" s="32" t="inlineStr">
        <is>
          <t>Standard</t>
        </is>
      </c>
      <c r="C61" s="32" t="inlineStr">
        <is>
          <t>Scope</t>
        </is>
      </c>
      <c r="D61" s="32" t="inlineStr">
        <is>
          <t>Source URL</t>
        </is>
      </c>
      <c r="E61" s="32" t="inlineStr">
        <is>
          <t>Applicability</t>
        </is>
      </c>
      <c r="F61" s="32" t="inlineStr">
        <is>
          <t>Review note</t>
        </is>
      </c>
    </row>
    <row r="62">
      <c r="B62" t="inlineStr">
        <is>
          <t>Federal Reserve SR 26-2 Model Risk Management</t>
        </is>
      </c>
      <c r="C62" t="inlineStr">
        <is>
          <t>governance, validation, change control, monitoring</t>
        </is>
      </c>
      <c r="D62" t="inlineStr">
        <is>
          <t>https://www.federalreserve.gov/supervisionreg/srletters/SR2602.htm</t>
        </is>
      </c>
      <c r="E62" t="inlineStr">
        <is>
          <t>Map explicitly</t>
        </is>
      </c>
      <c r="F62" t="inlineStr"/>
    </row>
    <row r="63">
      <c r="B63" t="inlineStr">
        <is>
          <t>IMF Debt Sustainability Analysis</t>
        </is>
      </c>
      <c r="C63" t="inlineStr">
        <is>
          <t>baseline and debt stress testing</t>
        </is>
      </c>
      <c r="D63" t="inlineStr">
        <is>
          <t>https://www.imf.org/external/pubs/ft/dsa/index.htm</t>
        </is>
      </c>
      <c r="E63" t="inlineStr">
        <is>
          <t>Map explicitly</t>
        </is>
      </c>
      <c r="F63" t="inlineStr"/>
    </row>
  </sheetData>
  <mergeCells count="15">
    <mergeCell ref="B44:F44"/>
    <mergeCell ref="C9:F9"/>
    <mergeCell ref="B12:F12"/>
    <mergeCell ref="B2:F2"/>
    <mergeCell ref="C8:F8"/>
    <mergeCell ref="C4:F4"/>
    <mergeCell ref="B20:F20"/>
    <mergeCell ref="B28:F28"/>
    <mergeCell ref="C6:F6"/>
    <mergeCell ref="C7:F7"/>
    <mergeCell ref="B60:F60"/>
    <mergeCell ref="B36:F36"/>
    <mergeCell ref="C10:F10"/>
    <mergeCell ref="C5:F5"/>
    <mergeCell ref="B52:F52"/>
  </mergeCells>
  <dataValidations count="6">
    <dataValidation sqref="F14:F18" showDropDown="0" showInputMessage="0" showErrorMessage="0" allowBlank="0" type="list">
      <formula1>"OPEN,IN REVIEW,CLOSED,NOT APPLICABLE"</formula1>
    </dataValidation>
    <dataValidation sqref="F22:F26" showDropDown="0" showInputMessage="0" showErrorMessage="0" allowBlank="0" type="list">
      <formula1>"OPEN,IN REVIEW,CLOSED,NOT APPLICABLE"</formula1>
    </dataValidation>
    <dataValidation sqref="F30:F34" showDropDown="0" showInputMessage="0" showErrorMessage="0" allowBlank="0" type="list">
      <formula1>"OPEN,IN REVIEW,CLOSED,NOT APPLICABLE"</formula1>
    </dataValidation>
    <dataValidation sqref="F38:F42" showDropDown="0" showInputMessage="0" showErrorMessage="0" allowBlank="0" type="list">
      <formula1>"OPEN,IN REVIEW,CLOSED,NOT APPLICABLE"</formula1>
    </dataValidation>
    <dataValidation sqref="F46:F50" showDropDown="0" showInputMessage="0" showErrorMessage="0" allowBlank="0" type="list">
      <formula1>"OPEN,IN REVIEW,CLOSED,NOT APPLICABLE"</formula1>
    </dataValidation>
    <dataValidation sqref="F54:F58" showDropDown="0" showInputMessage="0" showErrorMessage="0" allowBlank="0" type="list">
      <formula1>"OPEN,IN REVIEW,CLOSED,NOT APPLICABLE"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2" max="2"/>
    <col width="22" customWidth="1" min="3" max="3"/>
    <col width="52" customWidth="1" min="4" max="4"/>
    <col width="46" customWidth="1" min="5" max="5"/>
    <col width="36" customWidth="1" min="6" max="6"/>
    <col width="14" customWidth="1" min="7" max="7"/>
    <col width="18" customWidth="1" min="8" max="8"/>
    <col width="14" customWidth="1" min="9" max="9"/>
  </cols>
  <sheetData>
    <row r="2">
      <c r="B2" s="28" t="inlineStr">
        <is>
          <t>Independent Challenge, Override and Closure Log</t>
        </is>
      </c>
    </row>
    <row r="4">
      <c r="B4" s="32" t="inlineStr">
        <is>
          <t>Date</t>
        </is>
      </c>
      <c r="C4" s="32" t="inlineStr">
        <is>
          <t>Reviewer</t>
        </is>
      </c>
      <c r="D4" s="32" t="inlineStr">
        <is>
          <t>Challenge</t>
        </is>
      </c>
      <c r="E4" s="32" t="inlineStr">
        <is>
          <t>Owner response</t>
        </is>
      </c>
      <c r="F4" s="32" t="inlineStr">
        <is>
          <t>Evidence</t>
        </is>
      </c>
      <c r="G4" s="32" t="inlineStr">
        <is>
          <t>Impact</t>
        </is>
      </c>
      <c r="H4" s="32" t="inlineStr">
        <is>
          <t>Status</t>
        </is>
      </c>
      <c r="I4" s="32" t="inlineStr">
        <is>
          <t>Closure</t>
        </is>
      </c>
    </row>
    <row r="5">
      <c r="B5" t="inlineStr"/>
      <c r="C5" t="inlineStr"/>
      <c r="D5" t="inlineStr">
        <is>
          <t>debt dynamics identity</t>
        </is>
      </c>
      <c r="E5" t="inlineStr"/>
      <c r="F5" t="inlineStr"/>
      <c r="G5" t="inlineStr"/>
      <c r="H5" t="inlineStr">
        <is>
          <t>OPEN</t>
        </is>
      </c>
      <c r="I5" t="inlineStr"/>
    </row>
    <row r="6">
      <c r="B6" t="inlineStr"/>
      <c r="C6" t="inlineStr"/>
      <c r="D6" t="inlineStr">
        <is>
          <t>coverage definition matches pledge</t>
        </is>
      </c>
      <c r="E6" t="inlineStr"/>
      <c r="F6" t="inlineStr"/>
      <c r="G6" t="inlineStr"/>
      <c r="H6" t="inlineStr">
        <is>
          <t>OPEN</t>
        </is>
      </c>
      <c r="I6" t="inlineStr"/>
    </row>
    <row r="7">
      <c r="B7" t="inlineStr"/>
      <c r="C7" t="inlineStr"/>
      <c r="D7" t="inlineStr">
        <is>
          <t>reserves exclude restricted funds</t>
        </is>
      </c>
      <c r="E7" t="inlineStr"/>
      <c r="F7" t="inlineStr"/>
      <c r="G7" t="inlineStr"/>
      <c r="H7" t="inlineStr">
        <is>
          <t>OPEN</t>
        </is>
      </c>
      <c r="I7" t="inlineStr"/>
    </row>
    <row r="8">
      <c r="B8" t="inlineStr"/>
      <c r="C8" t="inlineStr"/>
      <c r="D8" t="inlineStr">
        <is>
          <t>source-to-model lineage is reproducible</t>
        </is>
      </c>
      <c r="E8" t="inlineStr"/>
      <c r="F8" t="inlineStr"/>
      <c r="G8" t="inlineStr"/>
      <c r="H8" t="inlineStr">
        <is>
          <t>OPEN</t>
        </is>
      </c>
      <c r="I8" t="inlineStr"/>
    </row>
    <row r="9">
      <c r="B9" t="inlineStr"/>
      <c r="C9" t="inlineStr"/>
      <c r="D9" t="inlineStr">
        <is>
          <t>units, signs, dates and legal definitions reconcile</t>
        </is>
      </c>
      <c r="E9" t="inlineStr"/>
      <c r="F9" t="inlineStr"/>
      <c r="G9" t="inlineStr"/>
      <c r="H9" t="inlineStr">
        <is>
          <t>OPEN</t>
        </is>
      </c>
      <c r="I9" t="inlineStr"/>
    </row>
  </sheetData>
  <mergeCells count="1">
    <mergeCell ref="B2:I2"/>
  </mergeCells>
  <dataValidations count="2">
    <dataValidation sqref="H5:H54" showDropDown="0" showInputMessage="0" showErrorMessage="0" allowBlank="0" type="list">
      <formula1>"OPEN,IN REVIEW,REMEDIATED,ACCEPTED RISK,CLOSED"</formula1>
    </dataValidation>
    <dataValidation sqref="G5:G54" showDropDown="0" showInputMessage="0" showErrorMessage="0" allowBlank="0" type="list">
      <formula1>"LOW,MEDIUM,HIGH,CRITICAL"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J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2" max="2"/>
    <col width="18" customWidth="1" min="3" max="3"/>
    <col width="42" customWidth="1" min="4" max="4"/>
    <col width="24" customWidth="1" min="5" max="5"/>
    <col width="18" customWidth="1" min="6" max="6"/>
    <col width="22" customWidth="1" min="7" max="7"/>
    <col width="42" customWidth="1" min="8" max="8"/>
    <col width="30" customWidth="1" min="9" max="9"/>
    <col width="15" customWidth="1" min="10" max="10"/>
  </cols>
  <sheetData>
    <row r="2">
      <c r="B2" s="28" t="inlineStr">
        <is>
          <t>Source, Transformation, Ownership and Refresh Map</t>
        </is>
      </c>
    </row>
    <row r="4">
      <c r="B4" s="32" t="inlineStr">
        <is>
          <t>Source class</t>
        </is>
      </c>
      <c r="C4" s="32" t="inlineStr">
        <is>
          <t>Cadence</t>
        </is>
      </c>
      <c r="D4" s="32" t="inlineStr">
        <is>
          <t>Control</t>
        </is>
      </c>
      <c r="E4" s="32" t="inlineStr">
        <is>
          <t>System / provider</t>
        </is>
      </c>
      <c r="F4" s="32" t="inlineStr">
        <is>
          <t>As-of</t>
        </is>
      </c>
      <c r="G4" s="32" t="inlineStr">
        <is>
          <t>Owner</t>
        </is>
      </c>
      <c r="H4" s="32" t="inlineStr">
        <is>
          <t>Transform</t>
        </is>
      </c>
      <c r="I4" s="32" t="inlineStr">
        <is>
          <t>Downstream</t>
        </is>
      </c>
      <c r="J4" s="32" t="inlineStr">
        <is>
          <t>Status</t>
        </is>
      </c>
    </row>
    <row r="5">
      <c r="B5" t="inlineStr">
        <is>
          <t>budget actuals</t>
        </is>
      </c>
      <c r="C5" t="inlineStr">
        <is>
          <t>monthly/annual</t>
        </is>
      </c>
      <c r="D5" t="inlineStr">
        <is>
          <t>fund and government-wide mapping</t>
        </is>
      </c>
      <c r="E5" t="inlineStr"/>
      <c r="F5" t="inlineStr"/>
      <c r="G5" t="inlineStr"/>
      <c r="H5" t="inlineStr"/>
      <c r="I5" t="inlineStr"/>
      <c r="J5" t="inlineStr">
        <is>
          <t>TO MAP</t>
        </is>
      </c>
    </row>
    <row r="6">
      <c r="B6" t="inlineStr">
        <is>
          <t>debt service</t>
        </is>
      </c>
      <c r="C6" t="inlineStr">
        <is>
          <t>monthly/annual</t>
        </is>
      </c>
      <c r="D6" t="inlineStr">
        <is>
          <t>CUSIP and legal-security tie</t>
        </is>
      </c>
      <c r="E6" t="inlineStr"/>
      <c r="F6" t="inlineStr"/>
      <c r="G6" t="inlineStr"/>
      <c r="H6" t="inlineStr"/>
      <c r="I6" t="inlineStr"/>
      <c r="J6" t="inlineStr">
        <is>
          <t>TO MAP</t>
        </is>
      </c>
    </row>
    <row r="7">
      <c r="B7" t="inlineStr">
        <is>
          <t>model governance evidence</t>
        </is>
      </c>
      <c r="C7" t="inlineStr">
        <is>
          <t>per release</t>
        </is>
      </c>
      <c r="D7" t="inlineStr">
        <is>
          <t>version, reviewer, sign-off and change log</t>
        </is>
      </c>
      <c r="E7" t="inlineStr"/>
      <c r="F7" t="inlineStr"/>
      <c r="G7" t="inlineStr"/>
      <c r="H7" t="inlineStr"/>
      <c r="I7" t="inlineStr"/>
      <c r="J7" t="inlineStr">
        <is>
          <t>TO MAP</t>
        </is>
      </c>
    </row>
    <row r="8">
      <c r="B8" t="inlineStr">
        <is>
          <t>decision-use snapshot</t>
        </is>
      </c>
      <c r="C8" t="inlineStr">
        <is>
          <t>per decision</t>
        </is>
      </c>
      <c r="D8" t="inlineStr">
        <is>
          <t>immutable as-of date and source receipt</t>
        </is>
      </c>
      <c r="E8" t="inlineStr"/>
      <c r="F8" t="inlineStr"/>
      <c r="G8" t="inlineStr"/>
      <c r="H8" t="inlineStr"/>
      <c r="I8" t="inlineStr"/>
      <c r="J8" t="inlineStr">
        <is>
          <t>TO MAP</t>
        </is>
      </c>
    </row>
  </sheetData>
  <mergeCells count="1">
    <mergeCell ref="B2:J2"/>
  </mergeCells>
  <dataValidations count="1">
    <dataValidation sqref="J5:J40" showDropDown="0" showInputMessage="0" showErrorMessage="0" allowBlank="0" type="list">
      <formula1>"TO MAP,ACTIVE,STALE,EXCEPTION,RETIRED"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F2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2" customWidth="1" min="2" max="2"/>
    <col width="15" customWidth="1" min="3" max="3"/>
    <col width="15" customWidth="1" min="4" max="4"/>
    <col width="15" customWidth="1" min="5" max="5"/>
    <col width="30" customWidth="1" min="6" max="6"/>
  </cols>
  <sheetData>
    <row r="2" ht="28" customHeight="1">
      <c r="B2" s="1" t="inlineStr">
        <is>
          <t>Public Finance Assumptions</t>
        </is>
      </c>
    </row>
    <row r="4">
      <c r="B4" s="8" t="inlineStr">
        <is>
          <t>Assumption</t>
        </is>
      </c>
      <c r="C4" s="8" t="inlineStr">
        <is>
          <t>Base</t>
        </is>
      </c>
      <c r="D4" s="8" t="inlineStr">
        <is>
          <t>Downside</t>
        </is>
      </c>
      <c r="E4" s="8" t="inlineStr">
        <is>
          <t>Active</t>
        </is>
      </c>
      <c r="F4" s="8" t="inlineStr">
        <is>
          <t>Units / note</t>
        </is>
      </c>
    </row>
    <row r="5">
      <c r="B5" t="inlineStr">
        <is>
          <t>Population / service base</t>
        </is>
      </c>
      <c r="C5" s="9" t="n">
        <v>1000000</v>
      </c>
      <c r="D5" s="9" t="n">
        <v>950000</v>
      </c>
      <c r="E5" s="10">
        <f>IF(Cover!$C$9="Downside",D5,C5)</f>
        <v/>
      </c>
    </row>
    <row r="6">
      <c r="B6" t="inlineStr">
        <is>
          <t>Recurring revenue</t>
        </is>
      </c>
      <c r="C6" s="11" t="n">
        <v>1200</v>
      </c>
      <c r="D6" s="11" t="n">
        <v>1080</v>
      </c>
      <c r="E6" s="12">
        <f>IF(Cover!$C$9="Downside",D6,C6)</f>
        <v/>
      </c>
    </row>
    <row r="7">
      <c r="B7" t="inlineStr">
        <is>
          <t>Recurring expenditure</t>
        </is>
      </c>
      <c r="C7" s="11" t="n">
        <v>1050</v>
      </c>
      <c r="D7" s="11" t="n">
        <v>1090</v>
      </c>
      <c r="E7" s="12">
        <f>IF(Cover!$C$9="Downside",D7,C7)</f>
        <v/>
      </c>
    </row>
    <row r="8">
      <c r="B8" t="inlineStr">
        <is>
          <t>Capital expenditure</t>
        </is>
      </c>
      <c r="C8" s="11" t="n">
        <v>180</v>
      </c>
      <c r="D8" s="11" t="n">
        <v>220</v>
      </c>
      <c r="E8" s="12">
        <f>IF(Cover!$C$9="Downside",D8,C8)</f>
        <v/>
      </c>
    </row>
    <row r="9">
      <c r="B9" t="inlineStr">
        <is>
          <t>Cash &amp; unrestricted reserves</t>
        </is>
      </c>
      <c r="C9" s="11" t="n">
        <v>300</v>
      </c>
      <c r="D9" s="11" t="n">
        <v>220</v>
      </c>
      <c r="E9" s="12">
        <f>IF(Cover!$C$9="Downside",D9,C9)</f>
        <v/>
      </c>
    </row>
    <row r="10">
      <c r="B10" t="inlineStr">
        <is>
          <t>Gross debt</t>
        </is>
      </c>
      <c r="C10" s="11" t="n">
        <v>2500</v>
      </c>
      <c r="D10" s="11" t="n">
        <v>2500</v>
      </c>
      <c r="E10" s="12">
        <f>IF(Cover!$C$9="Downside",D10,C10)</f>
        <v/>
      </c>
    </row>
    <row r="11">
      <c r="B11" t="inlineStr">
        <is>
          <t>Annual scheduled principal</t>
        </is>
      </c>
      <c r="C11" s="11" t="n">
        <v>125</v>
      </c>
      <c r="D11" s="11" t="n">
        <v>125</v>
      </c>
      <c r="E11" s="12">
        <f>IF(Cover!$C$9="Downside",D11,C11)</f>
        <v/>
      </c>
    </row>
    <row r="12">
      <c r="B12" t="inlineStr">
        <is>
          <t>Pledged revenue</t>
        </is>
      </c>
      <c r="C12" s="11" t="n">
        <v>420</v>
      </c>
      <c r="D12" s="11" t="n">
        <v>360</v>
      </c>
      <c r="E12" s="12">
        <f>IF(Cover!$C$9="Downside",D12,C12)</f>
        <v/>
      </c>
    </row>
    <row r="13">
      <c r="B13" t="inlineStr">
        <is>
          <t>Intergovernmental transfers</t>
        </is>
      </c>
      <c r="C13" s="11" t="n">
        <v>150</v>
      </c>
      <c r="D13" s="11" t="n">
        <v>120</v>
      </c>
      <c r="E13" s="12">
        <f>IF(Cover!$C$9="Downside",D13,C13)</f>
        <v/>
      </c>
    </row>
    <row r="14">
      <c r="B14" t="inlineStr">
        <is>
          <t>Revenue growth</t>
        </is>
      </c>
      <c r="C14" s="13" t="n">
        <v>0.03</v>
      </c>
      <c r="D14" s="13" t="n">
        <v>-0.02</v>
      </c>
      <c r="E14" s="14">
        <f>IF(Cover!$C$9="Downside",D14,C14)</f>
        <v/>
      </c>
    </row>
    <row r="15">
      <c r="B15" t="inlineStr">
        <is>
          <t>Expenditure growth</t>
        </is>
      </c>
      <c r="C15" s="13" t="n">
        <v>0.035</v>
      </c>
      <c r="D15" s="13" t="n">
        <v>0.05</v>
      </c>
      <c r="E15" s="14">
        <f>IF(Cover!$C$9="Downside",D15,C15)</f>
        <v/>
      </c>
    </row>
    <row r="16">
      <c r="B16" t="inlineStr">
        <is>
          <t>Effective interest rate (r)</t>
        </is>
      </c>
      <c r="C16" s="13" t="n">
        <v>0.045</v>
      </c>
      <c r="D16" s="13" t="n">
        <v>0.06</v>
      </c>
      <c r="E16" s="14">
        <f>IF(Cover!$C$9="Downside",D16,C16)</f>
        <v/>
      </c>
    </row>
    <row r="17">
      <c r="B17" t="inlineStr">
        <is>
          <t>Maximum debt / revenue</t>
        </is>
      </c>
      <c r="C17" s="15" t="n">
        <v>2.5</v>
      </c>
      <c r="D17" s="15" t="n">
        <v>2.5</v>
      </c>
      <c r="E17" s="16">
        <f>IF(Cover!$C$9="Downside",D17,C17)</f>
        <v/>
      </c>
    </row>
    <row r="18">
      <c r="B18" t="inlineStr">
        <is>
          <t>Minimum DSCR</t>
        </is>
      </c>
      <c r="C18" s="15" t="n">
        <v>1.5</v>
      </c>
      <c r="D18" s="15" t="n">
        <v>1.5</v>
      </c>
      <c r="E18" s="16">
        <f>IF(Cover!$C$9="Downside",D18,C18)</f>
        <v/>
      </c>
    </row>
    <row r="19">
      <c r="B19" t="inlineStr">
        <is>
          <t>Minimum days cash</t>
        </is>
      </c>
      <c r="C19" s="17" t="n">
        <v>90</v>
      </c>
      <c r="D19" s="17" t="n">
        <v>90</v>
      </c>
      <c r="E19" s="18">
        <f>IF(Cover!$C$9="Downside",D19,C19)</f>
        <v/>
      </c>
    </row>
    <row r="20">
      <c r="B20" t="inlineStr">
        <is>
          <t>Pension / OPEB contribution</t>
        </is>
      </c>
      <c r="C20" s="11" t="n">
        <v>90</v>
      </c>
      <c r="D20" s="11" t="n">
        <v>110</v>
      </c>
      <c r="E20" s="12">
        <f>IF(Cover!$C$9="Downside",D20,C20)</f>
        <v/>
      </c>
    </row>
    <row r="21">
      <c r="B21" t="inlineStr">
        <is>
          <t>Nominal revenue-base growth (g)</t>
        </is>
      </c>
      <c r="C21" s="13" t="n">
        <v>0.03</v>
      </c>
      <c r="D21" s="13" t="n">
        <v>0</v>
      </c>
      <c r="E21" s="14">
        <f>IF(Cover!$C$9="Downside",D21,C21)</f>
        <v/>
      </c>
    </row>
    <row r="22">
      <c r="B22" t="inlineStr">
        <is>
          <t>Current primary balance</t>
        </is>
      </c>
      <c r="C22" s="13" t="n">
        <v>0.01</v>
      </c>
      <c r="D22" s="13" t="n">
        <v>-0.03</v>
      </c>
      <c r="E22" s="14">
        <f>IF(Cover!$C$9="Downside",D22,C22)</f>
        <v/>
      </c>
    </row>
    <row r="23">
      <c r="B23" t="inlineStr">
        <is>
          <t>Debt-service reserve fund</t>
        </is>
      </c>
      <c r="C23" s="11" t="n">
        <v>50</v>
      </c>
      <c r="D23" s="11" t="n">
        <v>40</v>
      </c>
      <c r="E23" s="12">
        <f>IF(Cover!$C$9="Downside",D23,C23)</f>
        <v/>
      </c>
    </row>
  </sheetData>
  <mergeCells count="1">
    <mergeCell ref="B2:F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1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0" customWidth="1" min="2" max="2"/>
    <col width="18" customWidth="1" min="3" max="3"/>
    <col width="18" customWidth="1" min="4" max="4"/>
    <col width="16" customWidth="1" min="5" max="5"/>
    <col width="48" customWidth="1" min="6" max="6"/>
  </cols>
  <sheetData>
    <row r="2" ht="28" customHeight="1">
      <c r="B2" s="1" t="inlineStr">
        <is>
          <t>Debt Sustainability Analysis</t>
        </is>
      </c>
    </row>
    <row r="4">
      <c r="B4" s="8" t="inlineStr">
        <is>
          <t>Metric</t>
        </is>
      </c>
      <c r="C4" s="8" t="inlineStr">
        <is>
          <t>Active</t>
        </is>
      </c>
      <c r="D4" s="8" t="inlineStr">
        <is>
          <t>Downside</t>
        </is>
      </c>
      <c r="E4" s="8" t="inlineStr">
        <is>
          <t>Units</t>
        </is>
      </c>
      <c r="F4" s="8" t="inlineStr">
        <is>
          <t>Interpretation</t>
        </is>
      </c>
    </row>
    <row r="5">
      <c r="B5" t="inlineStr">
        <is>
          <t>Debt ratio</t>
        </is>
      </c>
      <c r="C5" s="19">
        <f>IFERROR(Assumptions!E10/Assumptions!E6,0)</f>
        <v/>
      </c>
      <c r="D5" s="19">
        <f>IFERROR(Assumptions!D10/Assumptions!D6,0)</f>
        <v/>
      </c>
      <c r="E5" t="inlineStr">
        <is>
          <t>0.0x;[Red](0.0x);-</t>
        </is>
      </c>
      <c r="F5" t="inlineStr">
        <is>
          <t>Debt / recurring revenue or GDP proxy</t>
        </is>
      </c>
    </row>
    <row r="6">
      <c r="B6" t="inlineStr">
        <is>
          <t>Effective rate (r)</t>
        </is>
      </c>
      <c r="C6" s="20">
        <f>Assumptions!E16</f>
        <v/>
      </c>
      <c r="D6" s="20">
        <f>Assumptions!D16</f>
        <v/>
      </c>
      <c r="E6" t="inlineStr">
        <is>
          <t>0.0%;[Red](0.0%);-</t>
        </is>
      </c>
      <c r="F6" t="inlineStr">
        <is>
          <t>Weighted effective debt cost</t>
        </is>
      </c>
    </row>
    <row r="7">
      <c r="B7" t="inlineStr">
        <is>
          <t>Nominal growth (g)</t>
        </is>
      </c>
      <c r="C7" s="20">
        <f>Assumptions!E21</f>
        <v/>
      </c>
      <c r="D7" s="20">
        <f>Assumptions!D21</f>
        <v/>
      </c>
      <c r="E7" t="inlineStr">
        <is>
          <t>0.0%;[Red](0.0%);-</t>
        </is>
      </c>
      <c r="F7" t="inlineStr">
        <is>
          <t>Nominal revenue-base growth</t>
        </is>
      </c>
    </row>
    <row r="8">
      <c r="B8" t="inlineStr">
        <is>
          <t>r - g</t>
        </is>
      </c>
      <c r="C8" s="20">
        <f>C6-C7</f>
        <v/>
      </c>
      <c r="D8" s="20">
        <f>D6-D7</f>
        <v/>
      </c>
      <c r="E8" t="inlineStr">
        <is>
          <t>0.0%;[Red](0.0%);-</t>
        </is>
      </c>
      <c r="F8" t="inlineStr">
        <is>
          <t>Positive differential raises stabilization burden</t>
        </is>
      </c>
    </row>
    <row r="9">
      <c r="B9" t="inlineStr">
        <is>
          <t>Current primary balance</t>
        </is>
      </c>
      <c r="C9" s="20">
        <f>Assumptions!E22</f>
        <v/>
      </c>
      <c r="D9" s="20">
        <f>Assumptions!D22</f>
        <v/>
      </c>
      <c r="E9" t="inlineStr">
        <is>
          <t>0.0%;[Red](0.0%);-</t>
        </is>
      </c>
      <c r="F9" t="inlineStr">
        <is>
          <t>Surplus positive</t>
        </is>
      </c>
    </row>
    <row r="10">
      <c r="B10" t="inlineStr">
        <is>
          <t>Debt-stabilizing primary balance</t>
        </is>
      </c>
      <c r="C10" s="20">
        <f>IFERROR((C6-C7)/(1+C7)*C5,0)</f>
        <v/>
      </c>
      <c r="D10" s="20">
        <f>IFERROR((D6-D7)/(1+D7)*D5,0)</f>
        <v/>
      </c>
      <c r="E10" t="inlineStr">
        <is>
          <t>0.0%;[Red](0.0%);-</t>
        </is>
      </c>
      <c r="F10" t="inlineStr">
        <is>
          <t>Required balance to stabilize debt ratio</t>
        </is>
      </c>
    </row>
    <row r="11">
      <c r="B11" t="inlineStr">
        <is>
          <t>Primary-balance gap</t>
        </is>
      </c>
      <c r="C11" s="20">
        <f>C9-C10</f>
        <v/>
      </c>
      <c r="D11" s="20">
        <f>D9-D10</f>
        <v/>
      </c>
      <c r="E11" t="inlineStr">
        <is>
          <t>0.0%;[Red](0.0%);-</t>
        </is>
      </c>
      <c r="F11" t="inlineStr">
        <is>
          <t>Positive is stronger than stabilizing</t>
        </is>
      </c>
    </row>
    <row r="12">
      <c r="B12" t="inlineStr">
        <is>
          <t>One-year projected debt ratio</t>
        </is>
      </c>
      <c r="C12" s="19">
        <f>IFERROR((1+C6)/(1+C7)*C5-C9,0)</f>
        <v/>
      </c>
      <c r="D12" s="19">
        <f>IFERROR((1+D6)/(1+D7)*D5-D9,0)</f>
        <v/>
      </c>
      <c r="E12" t="inlineStr">
        <is>
          <t>0.0x;[Red](0.0x);-</t>
        </is>
      </c>
      <c r="F12" t="inlineStr">
        <is>
          <t>Standard debt-dynamics identity</t>
        </is>
      </c>
    </row>
    <row r="13">
      <c r="B13" t="inlineStr">
        <is>
          <t>Trajectory</t>
        </is>
      </c>
      <c r="C13">
        <f>IF(C12&lt;=C5,"STABILIZING / FALLING","RISING")</f>
        <v/>
      </c>
      <c r="D13">
        <f>IF(D12&lt;=D5,"STABILIZING / FALLING","RISING")</f>
        <v/>
      </c>
      <c r="E13" t="inlineStr">
        <is>
          <t>status</t>
        </is>
      </c>
      <c r="F13" t="inlineStr">
        <is>
          <t>Screen excludes stock-flow adjustments</t>
        </is>
      </c>
    </row>
  </sheetData>
  <mergeCells count="1">
    <mergeCell ref="B2:F2"/>
  </mergeCells>
  <conditionalFormatting sqref="C13:D13">
    <cfRule type="expression" priority="1" dxfId="0">
      <formula>C13="STABILIZING / FALLING"</formula>
    </cfRule>
    <cfRule type="expression" priority="2" dxfId="1">
      <formula>C13="RISING"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H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2" ht="28" customHeight="1">
      <c r="B2" s="1" t="inlineStr">
        <is>
          <t>Operating Forecast</t>
        </is>
      </c>
    </row>
    <row r="4">
      <c r="B4" s="8" t="inlineStr">
        <is>
          <t>$mm</t>
        </is>
      </c>
      <c r="C4" s="8" t="inlineStr">
        <is>
          <t>Current</t>
        </is>
      </c>
      <c r="D4" s="8" t="inlineStr">
        <is>
          <t>Year 1</t>
        </is>
      </c>
      <c r="E4" s="8" t="inlineStr">
        <is>
          <t>Year 2</t>
        </is>
      </c>
      <c r="F4" s="8" t="inlineStr">
        <is>
          <t>Year 3</t>
        </is>
      </c>
      <c r="G4" s="8" t="inlineStr">
        <is>
          <t>Year 4</t>
        </is>
      </c>
      <c r="H4" s="8" t="inlineStr">
        <is>
          <t>Year 5</t>
        </is>
      </c>
    </row>
    <row r="5">
      <c r="B5" t="inlineStr">
        <is>
          <t>Recurring revenue</t>
        </is>
      </c>
      <c r="C5" s="12">
        <f>Assumptions!E6</f>
        <v/>
      </c>
      <c r="D5" s="21">
        <f>C5*(1+Assumptions!$E$14)</f>
        <v/>
      </c>
      <c r="E5" s="21">
        <f>D5*(1+Assumptions!$E$14)</f>
        <v/>
      </c>
      <c r="F5" s="21">
        <f>E5*(1+Assumptions!$E$14)</f>
        <v/>
      </c>
      <c r="G5" s="21">
        <f>F5*(1+Assumptions!$E$14)</f>
        <v/>
      </c>
      <c r="H5" s="21">
        <f>G5*(1+Assumptions!$E$14)</f>
        <v/>
      </c>
    </row>
    <row r="6">
      <c r="B6" t="inlineStr">
        <is>
          <t>Revenue growth</t>
        </is>
      </c>
      <c r="D6" s="20">
        <f>IFERROR(D5/C5-1,0)</f>
        <v/>
      </c>
      <c r="E6" s="20">
        <f>IFERROR(E5/D5-1,0)</f>
        <v/>
      </c>
      <c r="F6" s="20">
        <f>IFERROR(F5/E5-1,0)</f>
        <v/>
      </c>
      <c r="G6" s="20">
        <f>IFERROR(G5/F5-1,0)</f>
        <v/>
      </c>
      <c r="H6" s="20">
        <f>IFERROR(H5/G5-1,0)</f>
        <v/>
      </c>
    </row>
    <row r="7">
      <c r="B7" t="inlineStr">
        <is>
          <t>Recurring expenditure</t>
        </is>
      </c>
      <c r="C7" s="12">
        <f>Assumptions!E7</f>
        <v/>
      </c>
      <c r="D7" s="21">
        <f>C7*(1+Assumptions!$E$15)</f>
        <v/>
      </c>
      <c r="E7" s="21">
        <f>D7*(1+Assumptions!$E$15)</f>
        <v/>
      </c>
      <c r="F7" s="21">
        <f>E7*(1+Assumptions!$E$15)</f>
        <v/>
      </c>
      <c r="G7" s="21">
        <f>F7*(1+Assumptions!$E$15)</f>
        <v/>
      </c>
      <c r="H7" s="21">
        <f>G7*(1+Assumptions!$E$15)</f>
        <v/>
      </c>
    </row>
    <row r="8">
      <c r="B8" t="inlineStr">
        <is>
          <t>Expenditure growth</t>
        </is>
      </c>
      <c r="D8" s="20">
        <f>IFERROR(D7/C7-1,0)</f>
        <v/>
      </c>
      <c r="E8" s="20">
        <f>IFERROR(E7/D7-1,0)</f>
        <v/>
      </c>
      <c r="F8" s="20">
        <f>IFERROR(F7/E7-1,0)</f>
        <v/>
      </c>
      <c r="G8" s="20">
        <f>IFERROR(G7/F7-1,0)</f>
        <v/>
      </c>
      <c r="H8" s="20">
        <f>IFERROR(H7/G7-1,0)</f>
        <v/>
      </c>
    </row>
    <row r="9">
      <c r="B9" s="22" t="inlineStr">
        <is>
          <t>Operating surplus</t>
        </is>
      </c>
      <c r="C9" s="23">
        <f>C5-C7</f>
        <v/>
      </c>
      <c r="D9" s="23">
        <f>D5-D7</f>
        <v/>
      </c>
      <c r="E9" s="23">
        <f>E5-E7</f>
        <v/>
      </c>
      <c r="F9" s="23">
        <f>F5-F7</f>
        <v/>
      </c>
      <c r="G9" s="23">
        <f>G5-G7</f>
        <v/>
      </c>
      <c r="H9" s="23">
        <f>H5-H7</f>
        <v/>
      </c>
    </row>
    <row r="10">
      <c r="B10" t="inlineStr">
        <is>
          <t>Operating margin</t>
        </is>
      </c>
      <c r="C10" s="20">
        <f>IFERROR(C9/C5,0)</f>
        <v/>
      </c>
      <c r="D10" s="20">
        <f>IFERROR(D9/D5,0)</f>
        <v/>
      </c>
      <c r="E10" s="20">
        <f>IFERROR(E9/E5,0)</f>
        <v/>
      </c>
      <c r="F10" s="20">
        <f>IFERROR(F9/F5,0)</f>
        <v/>
      </c>
      <c r="G10" s="20">
        <f>IFERROR(G9/G5,0)</f>
        <v/>
      </c>
      <c r="H10" s="20">
        <f>IFERROR(H9/H5,0)</f>
        <v/>
      </c>
    </row>
    <row r="11">
      <c r="B11" t="inlineStr">
        <is>
          <t>Pension / OPEB contribution</t>
        </is>
      </c>
      <c r="C11" s="12">
        <f>Assumptions!E20</f>
        <v/>
      </c>
      <c r="D11" s="21">
        <f>Assumptions!$E$20</f>
        <v/>
      </c>
      <c r="E11" s="21">
        <f>Assumptions!$E$20</f>
        <v/>
      </c>
      <c r="F11" s="21">
        <f>Assumptions!$E$20</f>
        <v/>
      </c>
      <c r="G11" s="21">
        <f>Assumptions!$E$20</f>
        <v/>
      </c>
      <c r="H11" s="21">
        <f>Assumptions!$E$20</f>
        <v/>
      </c>
    </row>
    <row r="12">
      <c r="B12" s="22" t="inlineStr">
        <is>
          <t>Net operating result</t>
        </is>
      </c>
      <c r="C12" s="23">
        <f>C9-C11</f>
        <v/>
      </c>
      <c r="D12" s="23">
        <f>D9-D11</f>
        <v/>
      </c>
      <c r="E12" s="23">
        <f>E9-E11</f>
        <v/>
      </c>
      <c r="F12" s="23">
        <f>F9-F11</f>
        <v/>
      </c>
      <c r="G12" s="23">
        <f>G9-G11</f>
        <v/>
      </c>
      <c r="H12" s="23">
        <f>H9-H11</f>
        <v/>
      </c>
    </row>
    <row r="13">
      <c r="B13" t="inlineStr">
        <is>
          <t>Capital expenditure</t>
        </is>
      </c>
      <c r="C13" s="12">
        <f>Assumptions!E8</f>
        <v/>
      </c>
      <c r="D13" s="21">
        <f>Assumptions!$E$8</f>
        <v/>
      </c>
      <c r="E13" s="21">
        <f>Assumptions!$E$8</f>
        <v/>
      </c>
      <c r="F13" s="21">
        <f>Assumptions!$E$8</f>
        <v/>
      </c>
      <c r="G13" s="21">
        <f>Assumptions!$E$8</f>
        <v/>
      </c>
      <c r="H13" s="21">
        <f>Assumptions!$E$8</f>
        <v/>
      </c>
    </row>
    <row r="14">
      <c r="B14" s="22" t="inlineStr">
        <is>
          <t>FCF before debt service</t>
        </is>
      </c>
      <c r="C14" s="23">
        <f>C12-C13</f>
        <v/>
      </c>
      <c r="D14" s="23">
        <f>D12-D13</f>
        <v/>
      </c>
      <c r="E14" s="23">
        <f>E12-E13</f>
        <v/>
      </c>
      <c r="F14" s="23">
        <f>F12-F13</f>
        <v/>
      </c>
      <c r="G14" s="23">
        <f>G12-G13</f>
        <v/>
      </c>
      <c r="H14" s="23">
        <f>H12-H13</f>
        <v/>
      </c>
    </row>
  </sheetData>
  <mergeCells count="1">
    <mergeCell ref="B2:H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2" ht="28" customHeight="1">
      <c r="B2" s="1" t="inlineStr">
        <is>
          <t>Debt Service, Borrowing &amp; Reserves</t>
        </is>
      </c>
    </row>
    <row r="4">
      <c r="B4" s="8" t="inlineStr">
        <is>
          <t>$mm</t>
        </is>
      </c>
      <c r="C4" s="8" t="inlineStr">
        <is>
          <t>Year 1</t>
        </is>
      </c>
      <c r="D4" s="8" t="inlineStr">
        <is>
          <t>Year 2</t>
        </is>
      </c>
      <c r="E4" s="8" t="inlineStr">
        <is>
          <t>Year 3</t>
        </is>
      </c>
      <c r="F4" s="8" t="inlineStr">
        <is>
          <t>Year 4</t>
        </is>
      </c>
      <c r="G4" s="8" t="inlineStr">
        <is>
          <t>Year 5</t>
        </is>
      </c>
    </row>
    <row r="5">
      <c r="B5" t="inlineStr">
        <is>
          <t>Beginning debt</t>
        </is>
      </c>
      <c r="C5" s="21">
        <f>Assumptions!E10</f>
        <v/>
      </c>
      <c r="D5" s="21">
        <f>C11</f>
        <v/>
      </c>
      <c r="E5" s="21">
        <f>D11</f>
        <v/>
      </c>
      <c r="F5" s="21">
        <f>E11</f>
        <v/>
      </c>
      <c r="G5" s="21">
        <f>F11</f>
        <v/>
      </c>
    </row>
    <row r="6">
      <c r="B6" t="inlineStr">
        <is>
          <t>Scheduled principal</t>
        </is>
      </c>
      <c r="C6" s="21">
        <f>MIN(C5,Assumptions!$E$11)</f>
        <v/>
      </c>
      <c r="D6" s="21">
        <f>MIN(D5,Assumptions!$E$11)</f>
        <v/>
      </c>
      <c r="E6" s="21">
        <f>MIN(E5,Assumptions!$E$11)</f>
        <v/>
      </c>
      <c r="F6" s="21">
        <f>MIN(F5,Assumptions!$E$11)</f>
        <v/>
      </c>
      <c r="G6" s="21">
        <f>MIN(G5,Assumptions!$E$11)</f>
        <v/>
      </c>
    </row>
    <row r="7">
      <c r="B7" t="inlineStr">
        <is>
          <t>Cash interest</t>
        </is>
      </c>
      <c r="C7" s="21">
        <f>C5*Assumptions!$E$16</f>
        <v/>
      </c>
      <c r="D7" s="21">
        <f>D5*Assumptions!$E$16</f>
        <v/>
      </c>
      <c r="E7" s="21">
        <f>E5*Assumptions!$E$16</f>
        <v/>
      </c>
      <c r="F7" s="21">
        <f>F5*Assumptions!$E$16</f>
        <v/>
      </c>
      <c r="G7" s="21">
        <f>G5*Assumptions!$E$16</f>
        <v/>
      </c>
    </row>
    <row r="8">
      <c r="B8" s="22" t="inlineStr">
        <is>
          <t>Total debt service</t>
        </is>
      </c>
      <c r="C8" s="23">
        <f>C6+C7</f>
        <v/>
      </c>
      <c r="D8" s="23">
        <f>D6+D7</f>
        <v/>
      </c>
      <c r="E8" s="23">
        <f>E6+E7</f>
        <v/>
      </c>
      <c r="F8" s="23">
        <f>F6+F7</f>
        <v/>
      </c>
      <c r="G8" s="23">
        <f>G6+G7</f>
        <v/>
      </c>
    </row>
    <row r="9">
      <c r="B9" t="inlineStr">
        <is>
          <t>FCF before debt service</t>
        </is>
      </c>
      <c r="C9" s="21">
        <f>'Revenue &amp; Expenditure'!D14</f>
        <v/>
      </c>
      <c r="D9" s="21">
        <f>'Revenue &amp; Expenditure'!E14</f>
        <v/>
      </c>
      <c r="E9" s="21">
        <f>'Revenue &amp; Expenditure'!F14</f>
        <v/>
      </c>
      <c r="F9" s="21">
        <f>'Revenue &amp; Expenditure'!G14</f>
        <v/>
      </c>
      <c r="G9" s="21">
        <f>'Revenue &amp; Expenditure'!H14</f>
        <v/>
      </c>
    </row>
    <row r="10">
      <c r="B10" t="inlineStr">
        <is>
          <t>New borrowing / funding gap</t>
        </is>
      </c>
      <c r="C10" s="21">
        <f>MAX(0,C8-C9)</f>
        <v/>
      </c>
      <c r="D10" s="21">
        <f>MAX(0,D8-D9)</f>
        <v/>
      </c>
      <c r="E10" s="21">
        <f>MAX(0,E8-E9)</f>
        <v/>
      </c>
      <c r="F10" s="21">
        <f>MAX(0,F8-F9)</f>
        <v/>
      </c>
      <c r="G10" s="21">
        <f>MAX(0,G8-G9)</f>
        <v/>
      </c>
    </row>
    <row r="11">
      <c r="B11" s="22" t="inlineStr">
        <is>
          <t>Ending debt</t>
        </is>
      </c>
      <c r="C11" s="23">
        <f>C5-C6+C10</f>
        <v/>
      </c>
      <c r="D11" s="23">
        <f>D5-D6+D10</f>
        <v/>
      </c>
      <c r="E11" s="23">
        <f>E5-E6+E10</f>
        <v/>
      </c>
      <c r="F11" s="23">
        <f>F5-F6+F10</f>
        <v/>
      </c>
      <c r="G11" s="23">
        <f>G5-G6+G10</f>
        <v/>
      </c>
    </row>
    <row r="12">
      <c r="B12" t="inlineStr">
        <is>
          <t>Beginning reserves</t>
        </is>
      </c>
      <c r="C12" s="21">
        <f>Assumptions!E9</f>
        <v/>
      </c>
      <c r="D12" s="21">
        <f>C13</f>
        <v/>
      </c>
      <c r="E12" s="21">
        <f>D13</f>
        <v/>
      </c>
      <c r="F12" s="21">
        <f>E13</f>
        <v/>
      </c>
      <c r="G12" s="21">
        <f>F13</f>
        <v/>
      </c>
    </row>
    <row r="13">
      <c r="B13" s="22" t="inlineStr">
        <is>
          <t>Ending reserves</t>
        </is>
      </c>
      <c r="C13" s="23">
        <f>MAX(0,C12+C9-C8+C10)</f>
        <v/>
      </c>
      <c r="D13" s="23">
        <f>MAX(0,D12+D9-D8+D10)</f>
        <v/>
      </c>
      <c r="E13" s="23">
        <f>MAX(0,E12+E9-E8+E10)</f>
        <v/>
      </c>
      <c r="F13" s="23">
        <f>MAX(0,F12+F9-F8+F10)</f>
        <v/>
      </c>
      <c r="G13" s="23">
        <f>MAX(0,G12+G9-G8+G10)</f>
        <v/>
      </c>
    </row>
    <row r="14">
      <c r="B14" t="inlineStr">
        <is>
          <t>Pledged revenue</t>
        </is>
      </c>
      <c r="C14" s="21">
        <f>Assumptions!$E$12*(1+Assumptions!$E$14)^1</f>
        <v/>
      </c>
      <c r="D14" s="21">
        <f>Assumptions!$E$12*(1+Assumptions!$E$14)^2</f>
        <v/>
      </c>
      <c r="E14" s="21">
        <f>Assumptions!$E$12*(1+Assumptions!$E$14)^3</f>
        <v/>
      </c>
      <c r="F14" s="21">
        <f>Assumptions!$E$12*(1+Assumptions!$E$14)^4</f>
        <v/>
      </c>
      <c r="G14" s="21">
        <f>Assumptions!$E$12*(1+Assumptions!$E$14)^5</f>
        <v/>
      </c>
    </row>
    <row r="15">
      <c r="B15" t="inlineStr">
        <is>
          <t>Revenue-bond DSCR</t>
        </is>
      </c>
      <c r="C15" s="19">
        <f>IFERROR(C14/C8,0)</f>
        <v/>
      </c>
      <c r="D15" s="19">
        <f>IFERROR(D14/D8,0)</f>
        <v/>
      </c>
      <c r="E15" s="19">
        <f>IFERROR(E14/E8,0)</f>
        <v/>
      </c>
      <c r="F15" s="19">
        <f>IFERROR(F14/F8,0)</f>
        <v/>
      </c>
      <c r="G15" s="19">
        <f>IFERROR(G14/G8,0)</f>
        <v/>
      </c>
    </row>
  </sheetData>
  <mergeCells count="1">
    <mergeCell ref="B2:G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1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2" ht="28" customHeight="1">
      <c r="B2" s="1" t="inlineStr">
        <is>
          <t>Coverage, Liquidity &amp; Debt Burden</t>
        </is>
      </c>
    </row>
    <row r="4">
      <c r="B4" s="8" t="inlineStr">
        <is>
          <t>Metric</t>
        </is>
      </c>
      <c r="C4" s="8" t="inlineStr">
        <is>
          <t>Year 1</t>
        </is>
      </c>
      <c r="D4" s="8" t="inlineStr">
        <is>
          <t>Year 2</t>
        </is>
      </c>
      <c r="E4" s="8" t="inlineStr">
        <is>
          <t>Year 3</t>
        </is>
      </c>
      <c r="F4" s="8" t="inlineStr">
        <is>
          <t>Year 4</t>
        </is>
      </c>
      <c r="G4" s="8" t="inlineStr">
        <is>
          <t>Year 5</t>
        </is>
      </c>
    </row>
    <row r="5">
      <c r="B5" t="inlineStr">
        <is>
          <t>Debt / recurring revenue</t>
        </is>
      </c>
      <c r="C5" s="19">
        <f>IFERROR('Debt Service'!C11/'Revenue &amp; Expenditure'!D5,0)</f>
        <v/>
      </c>
      <c r="D5" s="19">
        <f>IFERROR('Debt Service'!D11/'Revenue &amp; Expenditure'!E5,0)</f>
        <v/>
      </c>
      <c r="E5" s="19">
        <f>IFERROR('Debt Service'!E11/'Revenue &amp; Expenditure'!F5,0)</f>
        <v/>
      </c>
      <c r="F5" s="19">
        <f>IFERROR('Debt Service'!F11/'Revenue &amp; Expenditure'!G5,0)</f>
        <v/>
      </c>
      <c r="G5" s="19">
        <f>IFERROR('Debt Service'!G11/'Revenue &amp; Expenditure'!H5,0)</f>
        <v/>
      </c>
    </row>
    <row r="6">
      <c r="B6" t="inlineStr">
        <is>
          <t>Maximum debt / revenue</t>
        </is>
      </c>
      <c r="C6" s="19">
        <f>Assumptions!E17</f>
        <v/>
      </c>
      <c r="D6" s="19">
        <f>Assumptions!E17</f>
        <v/>
      </c>
      <c r="E6" s="19">
        <f>Assumptions!E17</f>
        <v/>
      </c>
      <c r="F6" s="19">
        <f>Assumptions!E17</f>
        <v/>
      </c>
      <c r="G6" s="19">
        <f>Assumptions!E17</f>
        <v/>
      </c>
    </row>
    <row r="7">
      <c r="B7" t="inlineStr">
        <is>
          <t>Debt burden headroom</t>
        </is>
      </c>
      <c r="C7" s="19">
        <f>C6-C5</f>
        <v/>
      </c>
      <c r="D7" s="19">
        <f>D6-D5</f>
        <v/>
      </c>
      <c r="E7" s="19">
        <f>E6-E5</f>
        <v/>
      </c>
      <c r="F7" s="19">
        <f>F6-F5</f>
        <v/>
      </c>
      <c r="G7" s="19">
        <f>G6-G5</f>
        <v/>
      </c>
    </row>
    <row r="8">
      <c r="B8" t="inlineStr">
        <is>
          <t>Revenue-bond DSCR</t>
        </is>
      </c>
      <c r="C8" s="19">
        <f>'Debt Service'!C15</f>
        <v/>
      </c>
      <c r="D8" s="19">
        <f>'Debt Service'!D15</f>
        <v/>
      </c>
      <c r="E8" s="19">
        <f>'Debt Service'!E15</f>
        <v/>
      </c>
      <c r="F8" s="19">
        <f>'Debt Service'!F15</f>
        <v/>
      </c>
      <c r="G8" s="19">
        <f>'Debt Service'!G15</f>
        <v/>
      </c>
    </row>
    <row r="9">
      <c r="B9" t="inlineStr">
        <is>
          <t>Minimum DSCR</t>
        </is>
      </c>
      <c r="C9" s="19">
        <f>Assumptions!E18</f>
        <v/>
      </c>
      <c r="D9" s="19">
        <f>Assumptions!E18</f>
        <v/>
      </c>
      <c r="E9" s="19">
        <f>Assumptions!E18</f>
        <v/>
      </c>
      <c r="F9" s="19">
        <f>Assumptions!E18</f>
        <v/>
      </c>
      <c r="G9" s="19">
        <f>Assumptions!E18</f>
        <v/>
      </c>
    </row>
    <row r="10">
      <c r="B10" t="inlineStr">
        <is>
          <t>DSCR headroom</t>
        </is>
      </c>
      <c r="C10" s="19">
        <f>C8-C9</f>
        <v/>
      </c>
      <c r="D10" s="19">
        <f>D8-D9</f>
        <v/>
      </c>
      <c r="E10" s="19">
        <f>E8-E9</f>
        <v/>
      </c>
      <c r="F10" s="19">
        <f>F8-F9</f>
        <v/>
      </c>
      <c r="G10" s="19">
        <f>G8-G9</f>
        <v/>
      </c>
    </row>
    <row r="11">
      <c r="B11" t="inlineStr">
        <is>
          <t>Days cash on hand</t>
        </is>
      </c>
      <c r="C11" s="24">
        <f>IFERROR('Debt Service'!C13/('Revenue &amp; Expenditure'!D7/365),0)</f>
        <v/>
      </c>
      <c r="D11" s="24">
        <f>IFERROR('Debt Service'!D13/('Revenue &amp; Expenditure'!E7/365),0)</f>
        <v/>
      </c>
      <c r="E11" s="24">
        <f>IFERROR('Debt Service'!E13/('Revenue &amp; Expenditure'!F7/365),0)</f>
        <v/>
      </c>
      <c r="F11" s="24">
        <f>IFERROR('Debt Service'!F13/('Revenue &amp; Expenditure'!G7/365),0)</f>
        <v/>
      </c>
      <c r="G11" s="24">
        <f>IFERROR('Debt Service'!G13/('Revenue &amp; Expenditure'!H7/365),0)</f>
        <v/>
      </c>
    </row>
    <row r="12">
      <c r="B12" t="inlineStr">
        <is>
          <t>Minimum days cash</t>
        </is>
      </c>
      <c r="C12" s="24">
        <f>Assumptions!E19</f>
        <v/>
      </c>
      <c r="D12" s="24">
        <f>Assumptions!E19</f>
        <v/>
      </c>
      <c r="E12" s="24">
        <f>Assumptions!E19</f>
        <v/>
      </c>
      <c r="F12" s="24">
        <f>Assumptions!E19</f>
        <v/>
      </c>
      <c r="G12" s="24">
        <f>Assumptions!E19</f>
        <v/>
      </c>
    </row>
    <row r="13">
      <c r="B13" t="inlineStr">
        <is>
          <t>Liquidity headroom</t>
        </is>
      </c>
      <c r="C13" s="24">
        <f>C11-C12</f>
        <v/>
      </c>
      <c r="D13" s="24">
        <f>D11-D12</f>
        <v/>
      </c>
      <c r="E13" s="24">
        <f>E11-E12</f>
        <v/>
      </c>
      <c r="F13" s="24">
        <f>F11-F12</f>
        <v/>
      </c>
      <c r="G13" s="24">
        <f>G11-G12</f>
        <v/>
      </c>
    </row>
    <row r="14">
      <c r="B14" t="inlineStr">
        <is>
          <t>Pension burden / revenue</t>
        </is>
      </c>
      <c r="C14" s="20">
        <f>IFERROR('Revenue &amp; Expenditure'!D11/'Revenue &amp; Expenditure'!D5,0)</f>
        <v/>
      </c>
      <c r="D14" s="20">
        <f>IFERROR('Revenue &amp; Expenditure'!E11/'Revenue &amp; Expenditure'!E5,0)</f>
        <v/>
      </c>
      <c r="E14" s="20">
        <f>IFERROR('Revenue &amp; Expenditure'!F11/'Revenue &amp; Expenditure'!F5,0)</f>
        <v/>
      </c>
      <c r="F14" s="20">
        <f>IFERROR('Revenue &amp; Expenditure'!G11/'Revenue &amp; Expenditure'!G5,0)</f>
        <v/>
      </c>
      <c r="G14" s="20">
        <f>IFERROR('Revenue &amp; Expenditure'!H11/'Revenue &amp; Expenditure'!H5,0)</f>
        <v/>
      </c>
    </row>
    <row r="15">
      <c r="B15" t="inlineStr">
        <is>
          <t>Status</t>
        </is>
      </c>
      <c r="C15">
        <f>IF(AND(C7&gt;=0,C10&gt;=0,C13&gt;=0),"PASS","BREACH")</f>
        <v/>
      </c>
      <c r="D15">
        <f>IF(AND(D7&gt;=0,D10&gt;=0,D13&gt;=0),"PASS","BREACH")</f>
        <v/>
      </c>
      <c r="E15">
        <f>IF(AND(E7&gt;=0,E10&gt;=0,E13&gt;=0),"PASS","BREACH")</f>
        <v/>
      </c>
      <c r="F15">
        <f>IF(AND(F7&gt;=0,F10&gt;=0,F13&gt;=0),"PASS","BREACH")</f>
        <v/>
      </c>
      <c r="G15">
        <f>IF(AND(G7&gt;=0,G10&gt;=0,G13&gt;=0),"PASS","BREACH")</f>
        <v/>
      </c>
    </row>
  </sheetData>
  <mergeCells count="1">
    <mergeCell ref="B2:G2"/>
  </mergeCells>
  <conditionalFormatting sqref="C15:G15">
    <cfRule type="expression" priority="1" dxfId="0">
      <formula>C15="PASS"</formula>
    </cfRule>
    <cfRule type="expression" priority="2" dxfId="1">
      <formula>C15="FAIL"</formula>
    </cfRule>
    <cfRule type="expression" priority="3" dxfId="2">
      <formula>C15="REVIEW"</formula>
    </cfRule>
    <cfRule type="expression" priority="4" dxfId="1">
      <formula>C15="BREACH"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0" customWidth="1" min="2" max="2"/>
    <col width="18" customWidth="1" min="3" max="3"/>
    <col width="18" customWidth="1" min="4" max="4"/>
    <col width="32" customWidth="1" min="5" max="5"/>
  </cols>
  <sheetData>
    <row r="2" ht="28" customHeight="1">
      <c r="B2" s="1" t="inlineStr">
        <is>
          <t>Scenario Summary</t>
        </is>
      </c>
    </row>
    <row r="4">
      <c r="B4" s="8" t="inlineStr">
        <is>
          <t>Metric</t>
        </is>
      </c>
      <c r="C4" s="8" t="inlineStr">
        <is>
          <t>Base</t>
        </is>
      </c>
      <c r="D4" s="8" t="inlineStr">
        <is>
          <t>Downside</t>
        </is>
      </c>
      <c r="E4" s="8" t="inlineStr">
        <is>
          <t>Threshold / interpretation</t>
        </is>
      </c>
    </row>
    <row r="5">
      <c r="B5" t="inlineStr">
        <is>
          <t>Operating surplus</t>
        </is>
      </c>
      <c r="C5" s="21">
        <f>Assumptions!C6-Assumptions!C7-Assumptions!C20</f>
        <v/>
      </c>
      <c r="D5" s="21">
        <f>Assumptions!D6-Assumptions!D7-Assumptions!D20</f>
        <v/>
      </c>
      <c r="E5" t="inlineStr">
        <is>
          <t>Decision screen</t>
        </is>
      </c>
    </row>
    <row r="6">
      <c r="B6" t="inlineStr">
        <is>
          <t>Debt / revenue</t>
        </is>
      </c>
      <c r="C6" s="19">
        <f>IFERROR(Assumptions!C10/Assumptions!C6,0)</f>
        <v/>
      </c>
      <c r="D6" s="19">
        <f>IFERROR(Assumptions!D10/Assumptions!D6,0)</f>
        <v/>
      </c>
      <c r="E6" t="inlineStr">
        <is>
          <t>Decision screen</t>
        </is>
      </c>
    </row>
    <row r="7">
      <c r="B7" t="inlineStr">
        <is>
          <t>Revenue-bond DSCR</t>
        </is>
      </c>
      <c r="C7" s="19">
        <f>IFERROR(Assumptions!C12/(Assumptions!C11+Assumptions!C10*Assumptions!C16),0)</f>
        <v/>
      </c>
      <c r="D7" s="19">
        <f>IFERROR(Assumptions!D12/(Assumptions!D11+Assumptions!D10*Assumptions!D16),0)</f>
        <v/>
      </c>
      <c r="E7" t="inlineStr">
        <is>
          <t>Decision screen</t>
        </is>
      </c>
    </row>
    <row r="8">
      <c r="B8" t="inlineStr">
        <is>
          <t>Days cash</t>
        </is>
      </c>
      <c r="C8" s="24">
        <f>IFERROR(Assumptions!C9/(Assumptions!C7/365),0)</f>
        <v/>
      </c>
      <c r="D8" s="24">
        <f>IFERROR(Assumptions!D9/(Assumptions!D7/365),0)</f>
        <v/>
      </c>
      <c r="E8" t="inlineStr">
        <is>
          <t>Decision screen</t>
        </is>
      </c>
    </row>
    <row r="9">
      <c r="B9" t="inlineStr">
        <is>
          <t>Debt-stabilizing primary balance</t>
        </is>
      </c>
      <c r="C9" s="20">
        <f>IFERROR((Assumptions!C16-Assumptions!C21)/(1+Assumptions!C21)*(Assumptions!C10/Assumptions!C6),0)</f>
        <v/>
      </c>
      <c r="D9" s="20">
        <f>IFERROR((Assumptions!D16-Assumptions!D21)/(1+Assumptions!D21)*(Assumptions!D10/Assumptions!D6),0)</f>
        <v/>
      </c>
      <c r="E9" t="inlineStr">
        <is>
          <t>Decision screen</t>
        </is>
      </c>
    </row>
    <row r="10">
      <c r="B10" t="inlineStr">
        <is>
          <t>Overall</t>
        </is>
      </c>
      <c r="C10">
        <f>IF(AND(C5&gt;0,C6&lt;=Assumptions!C17,C7&gt;=Assumptions!C18,C8&gt;=Assumptions!C19),"PASS","REVIEW")</f>
        <v/>
      </c>
      <c r="D10">
        <f>IF(AND(D5&gt;0,D6&lt;=Assumptions!D17,D7&gt;=Assumptions!D18,D8&gt;=Assumptions!D19),"PASS","REVIEW")</f>
        <v/>
      </c>
      <c r="E10" t="inlineStr">
        <is>
          <t>Decision screen</t>
        </is>
      </c>
    </row>
  </sheetData>
  <mergeCells count="1">
    <mergeCell ref="B2:E2"/>
  </mergeCells>
  <conditionalFormatting sqref="C10:D10">
    <cfRule type="expression" priority="1" dxfId="0">
      <formula>C10="PASS"</formula>
    </cfRule>
    <cfRule type="expression" priority="2" dxfId="1">
      <formula>C10="FAIL"</formula>
    </cfRule>
    <cfRule type="expression" priority="3" dxfId="2">
      <formula>C10="REVIEW"</formula>
    </cfRule>
    <cfRule type="expression" priority="4" dxfId="1">
      <formula>C10="BREACH"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2" ht="28" customHeight="1">
      <c r="B2" s="1" t="inlineStr">
        <is>
          <t>Debt Ratio Sensitivity — One Year</t>
        </is>
      </c>
    </row>
    <row r="4">
      <c r="B4" s="8" t="inlineStr">
        <is>
          <t>Primary balance / r-g</t>
        </is>
      </c>
      <c r="C4" s="25" t="n">
        <v>-0.02</v>
      </c>
      <c r="D4" s="25" t="n">
        <v>0</v>
      </c>
      <c r="E4" s="25" t="n">
        <v>0.02</v>
      </c>
      <c r="F4" s="25" t="n">
        <v>0.04</v>
      </c>
      <c r="G4" s="25" t="n">
        <v>0.06</v>
      </c>
    </row>
    <row r="5">
      <c r="B5" s="20" t="n">
        <v>-0.05</v>
      </c>
      <c r="C5" s="19">
        <f>'Debt Sustainability'!$C$5*(1+C$4)-$B5</f>
        <v/>
      </c>
      <c r="D5" s="19">
        <f>'Debt Sustainability'!$C$5*(1+D$4)-$B5</f>
        <v/>
      </c>
      <c r="E5" s="19">
        <f>'Debt Sustainability'!$C$5*(1+E$4)-$B5</f>
        <v/>
      </c>
      <c r="F5" s="19">
        <f>'Debt Sustainability'!$C$5*(1+F$4)-$B5</f>
        <v/>
      </c>
      <c r="G5" s="19">
        <f>'Debt Sustainability'!$C$5*(1+G$4)-$B5</f>
        <v/>
      </c>
    </row>
    <row r="6">
      <c r="B6" s="20" t="n">
        <v>-0.025</v>
      </c>
      <c r="C6" s="19">
        <f>'Debt Sustainability'!$C$5*(1+C$4)-$B6</f>
        <v/>
      </c>
      <c r="D6" s="19">
        <f>'Debt Sustainability'!$C$5*(1+D$4)-$B6</f>
        <v/>
      </c>
      <c r="E6" s="19">
        <f>'Debt Sustainability'!$C$5*(1+E$4)-$B6</f>
        <v/>
      </c>
      <c r="F6" s="19">
        <f>'Debt Sustainability'!$C$5*(1+F$4)-$B6</f>
        <v/>
      </c>
      <c r="G6" s="19">
        <f>'Debt Sustainability'!$C$5*(1+G$4)-$B6</f>
        <v/>
      </c>
    </row>
    <row r="7">
      <c r="B7" s="20" t="n">
        <v>0</v>
      </c>
      <c r="C7" s="19">
        <f>'Debt Sustainability'!$C$5*(1+C$4)-$B7</f>
        <v/>
      </c>
      <c r="D7" s="19">
        <f>'Debt Sustainability'!$C$5*(1+D$4)-$B7</f>
        <v/>
      </c>
      <c r="E7" s="19">
        <f>'Debt Sustainability'!$C$5*(1+E$4)-$B7</f>
        <v/>
      </c>
      <c r="F7" s="19">
        <f>'Debt Sustainability'!$C$5*(1+F$4)-$B7</f>
        <v/>
      </c>
      <c r="G7" s="19">
        <f>'Debt Sustainability'!$C$5*(1+G$4)-$B7</f>
        <v/>
      </c>
    </row>
    <row r="8">
      <c r="B8" s="20" t="n">
        <v>0.025</v>
      </c>
      <c r="C8" s="19">
        <f>'Debt Sustainability'!$C$5*(1+C$4)-$B8</f>
        <v/>
      </c>
      <c r="D8" s="19">
        <f>'Debt Sustainability'!$C$5*(1+D$4)-$B8</f>
        <v/>
      </c>
      <c r="E8" s="19">
        <f>'Debt Sustainability'!$C$5*(1+E$4)-$B8</f>
        <v/>
      </c>
      <c r="F8" s="19">
        <f>'Debt Sustainability'!$C$5*(1+F$4)-$B8</f>
        <v/>
      </c>
      <c r="G8" s="19">
        <f>'Debt Sustainability'!$C$5*(1+G$4)-$B8</f>
        <v/>
      </c>
    </row>
    <row r="9">
      <c r="B9" s="20" t="n">
        <v>0.05</v>
      </c>
      <c r="C9" s="19">
        <f>'Debt Sustainability'!$C$5*(1+C$4)-$B9</f>
        <v/>
      </c>
      <c r="D9" s="19">
        <f>'Debt Sustainability'!$C$5*(1+D$4)-$B9</f>
        <v/>
      </c>
      <c r="E9" s="19">
        <f>'Debt Sustainability'!$C$5*(1+E$4)-$B9</f>
        <v/>
      </c>
      <c r="F9" s="19">
        <f>'Debt Sustainability'!$C$5*(1+F$4)-$B9</f>
        <v/>
      </c>
      <c r="G9" s="19">
        <f>'Debt Sustainability'!$C$5*(1+G$4)-$B9</f>
        <v/>
      </c>
    </row>
  </sheetData>
  <mergeCells count="1">
    <mergeCell ref="B2:G2"/>
  </mergeCells>
  <conditionalFormatting sqref="C5:G9">
    <cfRule type="colorScale" priority="1">
      <colorScale>
        <cfvo type="min"/>
        <cfvo type="percentile" val="50"/>
        <cfvo type="max"/>
        <color rgb="00E2F0D9"/>
        <color rgb="00FFF2CC"/>
        <color rgb="00FCE4D6"/>
      </colorScale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2:C1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4" customWidth="1" min="2" max="2"/>
    <col width="18" customWidth="1" min="3" max="3"/>
  </cols>
  <sheetData>
    <row r="2" ht="28" customHeight="1">
      <c r="B2" s="1" t="inlineStr">
        <is>
          <t>Model Checks</t>
        </is>
      </c>
    </row>
    <row r="4">
      <c r="B4" s="8" t="inlineStr">
        <is>
          <t>Check</t>
        </is>
      </c>
      <c r="C4" s="8" t="inlineStr">
        <is>
          <t>Status</t>
        </is>
      </c>
    </row>
    <row r="5">
      <c r="B5" t="inlineStr">
        <is>
          <t>Debt nonnegative</t>
        </is>
      </c>
      <c r="C5">
        <f>IF(MIN('Debt Service'!C11:G11)&gt;=0,"PASS","FAIL")</f>
        <v/>
      </c>
    </row>
    <row r="6">
      <c r="B6" t="inlineStr">
        <is>
          <t>Reserves nonnegative</t>
        </is>
      </c>
      <c r="C6">
        <f>IF(MIN('Debt Service'!C13:G13)&gt;=0,"PASS","FAIL")</f>
        <v/>
      </c>
    </row>
    <row r="7">
      <c r="B7" t="inlineStr">
        <is>
          <t>Coverage finite</t>
        </is>
      </c>
      <c r="C7">
        <f>IF(AND(MAX(Coverage!C5:G14)&lt;1000,MIN(Coverage!C5:G14)&gt;-1000),"PASS","FAIL")</f>
        <v/>
      </c>
    </row>
    <row r="8">
      <c r="B8" t="inlineStr">
        <is>
          <t>No coverage breach</t>
        </is>
      </c>
      <c r="C8">
        <f>IF(COUNTIF(Coverage!C15:G15,"BREACH")=0,"PASS","REVIEW")</f>
        <v/>
      </c>
    </row>
    <row r="9">
      <c r="B9" t="inlineStr">
        <is>
          <t>Debt dynamics bounded</t>
        </is>
      </c>
      <c r="C9">
        <f>IF(AND('Debt Sustainability'!C12&gt;=0,'Debt Sustainability'!C12&lt;10),"PASS","REVIEW")</f>
        <v/>
      </c>
    </row>
    <row r="10">
      <c r="B10" t="inlineStr">
        <is>
          <t>Overall</t>
        </is>
      </c>
      <c r="C10">
        <f>IF(COUNTIF(C5:C9,"FAIL")+COUNTIF(C5:C9,"REVIEW")=0,"PASS","REVIEW")</f>
        <v/>
      </c>
    </row>
  </sheetData>
  <mergeCells count="1">
    <mergeCell ref="B2:C2"/>
  </mergeCells>
  <conditionalFormatting sqref="C5:C10">
    <cfRule type="expression" priority="1" dxfId="0">
      <formula>C5="PASS"</formula>
    </cfRule>
    <cfRule type="expression" priority="2" dxfId="1">
      <formula>C5="FAIL"</formula>
    </cfRule>
    <cfRule type="expression" priority="3" dxfId="2">
      <formula>C5="REVIEW"</formula>
    </cfRule>
    <cfRule type="expression" priority="4" dxfId="1">
      <formula>C5="BREACH"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E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58" customWidth="1" min="3" max="3"/>
    <col width="16" customWidth="1" min="4" max="4"/>
    <col width="48" customWidth="1" min="5" max="5"/>
  </cols>
  <sheetData>
    <row r="2" ht="28" customHeight="1">
      <c r="B2" s="1" t="inlineStr">
        <is>
          <t>Source Register</t>
        </is>
      </c>
    </row>
    <row r="4">
      <c r="B4" s="8" t="inlineStr">
        <is>
          <t>Input / dataset</t>
        </is>
      </c>
      <c r="C4" s="8" t="inlineStr">
        <is>
          <t>Source URL or document</t>
        </is>
      </c>
      <c r="D4" s="8" t="inlineStr">
        <is>
          <t>As-of</t>
        </is>
      </c>
      <c r="E4" s="8" t="inlineStr">
        <is>
          <t>Notes / transformation</t>
        </is>
      </c>
    </row>
    <row r="5">
      <c r="B5" s="26" t="inlineStr">
        <is>
          <t>Official statements / disclosures</t>
        </is>
      </c>
      <c r="C5" s="26" t="inlineStr">
        <is>
          <t>EMMA, finance ministry, issuer or audited report</t>
        </is>
      </c>
      <c r="D5" s="26" t="inlineStr">
        <is>
          <t>[period]</t>
        </is>
      </c>
      <c r="E5" s="26" t="inlineStr">
        <is>
          <t>Revenue, expenditure, debt and reserves</t>
        </is>
      </c>
    </row>
    <row r="6">
      <c r="B6" s="26" t="inlineStr">
        <is>
          <t>Accounting standards</t>
        </is>
      </c>
      <c r="C6" s="26" t="inlineStr">
        <is>
          <t>GASB, IPSAS, or applicable national standards</t>
        </is>
      </c>
      <c r="D6" s="26" t="inlineStr">
        <is>
          <t>[date]</t>
        </is>
      </c>
      <c r="E6" s="26" t="inlineStr">
        <is>
          <t>Map reporting consistently</t>
        </is>
      </c>
    </row>
    <row r="7">
      <c r="B7" s="26" t="inlineStr">
        <is>
          <t>Economic and demographic data</t>
        </is>
      </c>
      <c r="C7" s="26" t="inlineStr">
        <is>
          <t>Official statistics, FRED, or multilateral dataset</t>
        </is>
      </c>
      <c r="D7" s="26" t="inlineStr">
        <is>
          <t>[period]</t>
        </is>
      </c>
      <c r="E7" s="26" t="inlineStr">
        <is>
          <t>Freeze series and release vintage</t>
        </is>
      </c>
    </row>
    <row r="8">
      <c r="B8" s="26" t="inlineStr">
        <is>
          <t>Benchmark rates</t>
        </is>
      </c>
      <c r="C8" s="26" t="inlineStr">
        <is>
          <t>Treasury or sovereign curve</t>
        </is>
      </c>
      <c r="D8" s="26" t="inlineStr">
        <is>
          <t>[date]</t>
        </is>
      </c>
      <c r="E8" s="26" t="inlineStr">
        <is>
          <t>Refinancing and relative-value assumptions</t>
        </is>
      </c>
    </row>
    <row r="9">
      <c r="B9" s="26" t="inlineStr">
        <is>
          <t>Debt sustainability method</t>
        </is>
      </c>
      <c r="C9" s="26" t="inlineStr">
        <is>
          <t>IMF / World Bank public methodology</t>
        </is>
      </c>
      <c r="D9" s="26" t="inlineStr">
        <is>
          <t>[date]</t>
        </is>
      </c>
      <c r="E9" s="26" t="inlineStr">
        <is>
          <t>Document debt-dynamics and stress choices</t>
        </is>
      </c>
    </row>
  </sheetData>
  <mergeCells count="1">
    <mergeCell ref="B2:E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G2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4" customWidth="1" min="2" max="2"/>
    <col width="22" customWidth="1" min="3" max="3"/>
    <col width="28" customWidth="1" min="4" max="4"/>
    <col width="38" customWidth="1" min="5" max="5"/>
    <col width="34" customWidth="1" min="6" max="6"/>
    <col width="18" customWidth="1" min="7" max="7"/>
  </cols>
  <sheetData>
    <row r="2" ht="28" customHeight="1">
      <c r="B2" s="1" t="inlineStr">
        <is>
          <t>Refresh Log</t>
        </is>
      </c>
    </row>
    <row r="4">
      <c r="B4" s="8" t="inlineStr">
        <is>
          <t>Date</t>
        </is>
      </c>
      <c r="C4" s="8" t="inlineStr">
        <is>
          <t>Trigger</t>
        </is>
      </c>
      <c r="D4" s="8" t="inlineStr">
        <is>
          <t>Source snapshot</t>
        </is>
      </c>
      <c r="E4" s="8" t="inlineStr">
        <is>
          <t>What changed</t>
        </is>
      </c>
      <c r="F4" s="8" t="inlineStr">
        <is>
          <t>Reviewer / challenge</t>
        </is>
      </c>
      <c r="G4" s="8" t="inlineStr">
        <is>
          <t>Next check</t>
        </is>
      </c>
    </row>
    <row r="5">
      <c r="B5" s="27" t="n"/>
      <c r="C5" s="27" t="n"/>
      <c r="D5" s="27" t="n"/>
      <c r="E5" s="27" t="n"/>
      <c r="F5" s="27" t="n"/>
      <c r="G5" s="27" t="n"/>
    </row>
    <row r="6">
      <c r="B6" s="27" t="n"/>
      <c r="C6" s="27" t="n"/>
      <c r="D6" s="27" t="n"/>
      <c r="E6" s="27" t="n"/>
      <c r="F6" s="27" t="n"/>
      <c r="G6" s="27" t="n"/>
    </row>
    <row r="7">
      <c r="B7" s="27" t="n"/>
      <c r="C7" s="27" t="n"/>
      <c r="D7" s="27" t="n"/>
      <c r="E7" s="27" t="n"/>
      <c r="F7" s="27" t="n"/>
      <c r="G7" s="27" t="n"/>
    </row>
    <row r="8">
      <c r="B8" s="27" t="n"/>
      <c r="C8" s="27" t="n"/>
      <c r="D8" s="27" t="n"/>
      <c r="E8" s="27" t="n"/>
      <c r="F8" s="27" t="n"/>
      <c r="G8" s="27" t="n"/>
    </row>
    <row r="9">
      <c r="B9" s="27" t="n"/>
      <c r="C9" s="27" t="n"/>
      <c r="D9" s="27" t="n"/>
      <c r="E9" s="27" t="n"/>
      <c r="F9" s="27" t="n"/>
      <c r="G9" s="27" t="n"/>
    </row>
    <row r="10">
      <c r="B10" s="27" t="n"/>
      <c r="C10" s="27" t="n"/>
      <c r="D10" s="27" t="n"/>
      <c r="E10" s="27" t="n"/>
      <c r="F10" s="27" t="n"/>
      <c r="G10" s="27" t="n"/>
    </row>
    <row r="11">
      <c r="B11" s="27" t="n"/>
      <c r="C11" s="27" t="n"/>
      <c r="D11" s="27" t="n"/>
      <c r="E11" s="27" t="n"/>
      <c r="F11" s="27" t="n"/>
      <c r="G11" s="27" t="n"/>
    </row>
    <row r="12">
      <c r="B12" s="27" t="n"/>
      <c r="C12" s="27" t="n"/>
      <c r="D12" s="27" t="n"/>
      <c r="E12" s="27" t="n"/>
      <c r="F12" s="27" t="n"/>
      <c r="G12" s="27" t="n"/>
    </row>
    <row r="13">
      <c r="B13" s="27" t="n"/>
      <c r="C13" s="27" t="n"/>
      <c r="D13" s="27" t="n"/>
      <c r="E13" s="27" t="n"/>
      <c r="F13" s="27" t="n"/>
      <c r="G13" s="27" t="n"/>
    </row>
    <row r="14">
      <c r="B14" s="27" t="n"/>
      <c r="C14" s="27" t="n"/>
      <c r="D14" s="27" t="n"/>
      <c r="E14" s="27" t="n"/>
      <c r="F14" s="27" t="n"/>
      <c r="G14" s="27" t="n"/>
    </row>
    <row r="15">
      <c r="B15" s="27" t="n"/>
      <c r="C15" s="27" t="n"/>
      <c r="D15" s="27" t="n"/>
      <c r="E15" s="27" t="n"/>
      <c r="F15" s="27" t="n"/>
      <c r="G15" s="27" t="n"/>
    </row>
    <row r="16">
      <c r="B16" s="27" t="n"/>
      <c r="C16" s="27" t="n"/>
      <c r="D16" s="27" t="n"/>
      <c r="E16" s="27" t="n"/>
      <c r="F16" s="27" t="n"/>
      <c r="G16" s="27" t="n"/>
    </row>
    <row r="17">
      <c r="B17" s="27" t="n"/>
      <c r="C17" s="27" t="n"/>
      <c r="D17" s="27" t="n"/>
      <c r="E17" s="27" t="n"/>
      <c r="F17" s="27" t="n"/>
      <c r="G17" s="27" t="n"/>
    </row>
    <row r="18">
      <c r="B18" s="27" t="n"/>
      <c r="C18" s="27" t="n"/>
      <c r="D18" s="27" t="n"/>
      <c r="E18" s="27" t="n"/>
      <c r="F18" s="27" t="n"/>
      <c r="G18" s="27" t="n"/>
    </row>
    <row r="19">
      <c r="B19" s="27" t="n"/>
      <c r="C19" s="27" t="n"/>
      <c r="D19" s="27" t="n"/>
      <c r="E19" s="27" t="n"/>
      <c r="F19" s="27" t="n"/>
      <c r="G19" s="27" t="n"/>
    </row>
    <row r="20">
      <c r="B20" s="27" t="n"/>
      <c r="C20" s="27" t="n"/>
      <c r="D20" s="27" t="n"/>
      <c r="E20" s="27" t="n"/>
      <c r="F20" s="27" t="n"/>
      <c r="G20" s="27" t="n"/>
    </row>
    <row r="21">
      <c r="B21" s="27" t="n"/>
      <c r="C21" s="27" t="n"/>
      <c r="D21" s="27" t="n"/>
      <c r="E21" s="27" t="n"/>
      <c r="F21" s="27" t="n"/>
      <c r="G21" s="27" t="n"/>
    </row>
    <row r="22">
      <c r="B22" s="27" t="n"/>
      <c r="C22" s="27" t="n"/>
      <c r="D22" s="27" t="n"/>
      <c r="E22" s="27" t="n"/>
      <c r="F22" s="27" t="n"/>
      <c r="G22" s="27" t="n"/>
    </row>
    <row r="23">
      <c r="B23" s="27" t="n"/>
      <c r="C23" s="27" t="n"/>
      <c r="D23" s="27" t="n"/>
      <c r="E23" s="27" t="n"/>
      <c r="F23" s="27" t="n"/>
      <c r="G23" s="27" t="n"/>
    </row>
    <row r="24">
      <c r="B24" s="27" t="n"/>
      <c r="C24" s="27" t="n"/>
      <c r="D24" s="27" t="n"/>
      <c r="E24" s="27" t="n"/>
      <c r="F24" s="27" t="n"/>
      <c r="G24" s="27" t="n"/>
    </row>
    <row r="25">
      <c r="B25" s="27" t="n"/>
      <c r="C25" s="27" t="n"/>
      <c r="D25" s="27" t="n"/>
      <c r="E25" s="27" t="n"/>
      <c r="F25" s="27" t="n"/>
      <c r="G25" s="27" t="n"/>
    </row>
    <row r="26">
      <c r="B26" s="27" t="n"/>
      <c r="C26" s="27" t="n"/>
      <c r="D26" s="27" t="n"/>
      <c r="E26" s="27" t="n"/>
      <c r="F26" s="27" t="n"/>
      <c r="G26" s="27" t="n"/>
    </row>
    <row r="27">
      <c r="B27" s="27" t="n"/>
      <c r="C27" s="27" t="n"/>
      <c r="D27" s="27" t="n"/>
      <c r="E27" s="27" t="n"/>
      <c r="F27" s="27" t="n"/>
      <c r="G27" s="27" t="n"/>
    </row>
    <row r="28">
      <c r="B28" s="27" t="n"/>
      <c r="C28" s="27" t="n"/>
      <c r="D28" s="27" t="n"/>
      <c r="E28" s="27" t="n"/>
      <c r="F28" s="27" t="n"/>
      <c r="G28" s="27" t="n"/>
    </row>
    <row r="29">
      <c r="B29" s="27" t="n"/>
      <c r="C29" s="27" t="n"/>
      <c r="D29" s="27" t="n"/>
      <c r="E29" s="27" t="n"/>
      <c r="F29" s="27" t="n"/>
      <c r="G29" s="27" t="n"/>
    </row>
  </sheetData>
  <mergeCells count="1">
    <mergeCell ref="B2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2026-08-04T01:30:14Z</dcterms:created>
  <dcterms:modified xsi:type="dcterms:W3CDTF">2026-08-04T03:48:33Z</dcterms:modified>
</cp:coreProperties>
</file>