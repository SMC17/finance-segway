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Debt Sustainability" sheetId="3" state="visible" r:id="rId3"/>
    <sheet name="Revenue &amp; Expenditure" sheetId="4" state="visible" r:id="rId4"/>
    <sheet name="Debt Service" sheetId="5" state="visible" r:id="rId5"/>
    <sheet name="Coverage" sheetId="6" state="visible" r:id="rId6"/>
    <sheet name="Scenarios" sheetId="7" state="visible" r:id="rId7"/>
    <sheet name="Sensitivity" sheetId="8" state="visible" r:id="rId8"/>
    <sheet name="Checks" sheetId="9" state="visible" r:id="rId9"/>
    <sheet name="Sources" sheetId="10" state="visible" r:id="rId10"/>
    <sheet name="RefreshLog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$#,##0.0;[Red]($#,##0.0);-"/>
    <numFmt numFmtId="166" formatCode="0.0%;[Red](0.0%);-"/>
    <numFmt numFmtId="167" formatCode="0.0x;[Red](0.0x);-"/>
    <numFmt numFmtId="168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8" fillId="0" borderId="0" pivotButton="0" quotePrefix="0" xfId="0"/>
    <xf numFmtId="165" fontId="3" fillId="3" borderId="1" pivotButton="0" quotePrefix="0" xfId="0"/>
    <xf numFmtId="165" fontId="8" fillId="0" borderId="0" pivotButton="0" quotePrefix="0" xfId="0"/>
    <xf numFmtId="166" fontId="3" fillId="3" borderId="1" pivotButton="0" quotePrefix="0" xfId="0"/>
    <xf numFmtId="166" fontId="8" fillId="0" borderId="0" pivotButton="0" quotePrefix="0" xfId="0"/>
    <xf numFmtId="167" fontId="3" fillId="3" borderId="1" pivotButton="0" quotePrefix="0" xfId="0"/>
    <xf numFmtId="167" fontId="8" fillId="0" borderId="0" pivotButton="0" quotePrefix="0" xfId="0"/>
    <xf numFmtId="168" fontId="3" fillId="3" borderId="1" pivotButton="0" quotePrefix="0" xfId="0"/>
    <xf numFmtId="168" fontId="8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2" fillId="0" borderId="2" pivotButton="0" quotePrefix="0" xfId="0"/>
    <xf numFmtId="165" fontId="2" fillId="0" borderId="2" pivotButton="0" quotePrefix="0" xfId="0"/>
    <xf numFmtId="168" fontId="0" fillId="0" borderId="0" pivotButton="0" quotePrefix="0" xfId="0"/>
    <xf numFmtId="166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[ISSUER] — Public Finance Credit Model</t>
        </is>
      </c>
    </row>
    <row r="4">
      <c r="B4" s="2" t="inlineStr">
        <is>
          <t>Issuer:</t>
        </is>
      </c>
      <c r="C4" s="3" t="inlineStr">
        <is>
          <t>[Sovereign / state / municipality / authority]</t>
        </is>
      </c>
    </row>
    <row r="5">
      <c r="B5" s="2" t="inlineStr">
        <is>
          <t>Instrument:</t>
        </is>
      </c>
      <c r="C5" s="3" t="inlineStr">
        <is>
          <t>GO / revenue bond / sovereign note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payment / issuance: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Weekly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2" ht="28" customHeight="1">
      <c r="B2" s="1" t="inlineStr">
        <is>
          <t>Public Finance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Population / service base</t>
        </is>
      </c>
      <c r="C5" s="9" t="n">
        <v>1000000</v>
      </c>
      <c r="D5" s="9" t="n">
        <v>950000</v>
      </c>
      <c r="E5" s="10">
        <f>IF(Cover!$C$9="Downside",D5,C5)</f>
        <v/>
      </c>
    </row>
    <row r="6">
      <c r="B6" t="inlineStr">
        <is>
          <t>Recurring revenue</t>
        </is>
      </c>
      <c r="C6" s="11" t="n">
        <v>1200</v>
      </c>
      <c r="D6" s="11" t="n">
        <v>1080</v>
      </c>
      <c r="E6" s="12">
        <f>IF(Cover!$C$9="Downside",D6,C6)</f>
        <v/>
      </c>
    </row>
    <row r="7">
      <c r="B7" t="inlineStr">
        <is>
          <t>Recurring expenditure</t>
        </is>
      </c>
      <c r="C7" s="11" t="n">
        <v>1050</v>
      </c>
      <c r="D7" s="11" t="n">
        <v>1090</v>
      </c>
      <c r="E7" s="12">
        <f>IF(Cover!$C$9="Downside",D7,C7)</f>
        <v/>
      </c>
    </row>
    <row r="8">
      <c r="B8" t="inlineStr">
        <is>
          <t>Capital expenditure</t>
        </is>
      </c>
      <c r="C8" s="11" t="n">
        <v>180</v>
      </c>
      <c r="D8" s="11" t="n">
        <v>220</v>
      </c>
      <c r="E8" s="12">
        <f>IF(Cover!$C$9="Downside",D8,C8)</f>
        <v/>
      </c>
    </row>
    <row r="9">
      <c r="B9" t="inlineStr">
        <is>
          <t>Cash &amp; unrestricted reserves</t>
        </is>
      </c>
      <c r="C9" s="11" t="n">
        <v>300</v>
      </c>
      <c r="D9" s="11" t="n">
        <v>220</v>
      </c>
      <c r="E9" s="12">
        <f>IF(Cover!$C$9="Downside",D9,C9)</f>
        <v/>
      </c>
    </row>
    <row r="10">
      <c r="B10" t="inlineStr">
        <is>
          <t>Gross debt</t>
        </is>
      </c>
      <c r="C10" s="11" t="n">
        <v>2500</v>
      </c>
      <c r="D10" s="11" t="n">
        <v>2500</v>
      </c>
      <c r="E10" s="12">
        <f>IF(Cover!$C$9="Downside",D10,C10)</f>
        <v/>
      </c>
    </row>
    <row r="11">
      <c r="B11" t="inlineStr">
        <is>
          <t>Annual scheduled principal</t>
        </is>
      </c>
      <c r="C11" s="11" t="n">
        <v>125</v>
      </c>
      <c r="D11" s="11" t="n">
        <v>125</v>
      </c>
      <c r="E11" s="12">
        <f>IF(Cover!$C$9="Downside",D11,C11)</f>
        <v/>
      </c>
    </row>
    <row r="12">
      <c r="B12" t="inlineStr">
        <is>
          <t>Pledged revenue</t>
        </is>
      </c>
      <c r="C12" s="11" t="n">
        <v>420</v>
      </c>
      <c r="D12" s="11" t="n">
        <v>360</v>
      </c>
      <c r="E12" s="12">
        <f>IF(Cover!$C$9="Downside",D12,C12)</f>
        <v/>
      </c>
    </row>
    <row r="13">
      <c r="B13" t="inlineStr">
        <is>
          <t>Intergovernmental transfers</t>
        </is>
      </c>
      <c r="C13" s="11" t="n">
        <v>150</v>
      </c>
      <c r="D13" s="11" t="n">
        <v>120</v>
      </c>
      <c r="E13" s="12">
        <f>IF(Cover!$C$9="Downside",D13,C13)</f>
        <v/>
      </c>
    </row>
    <row r="14">
      <c r="B14" t="inlineStr">
        <is>
          <t>Revenue growth</t>
        </is>
      </c>
      <c r="C14" s="13" t="n">
        <v>0.03</v>
      </c>
      <c r="D14" s="13" t="n">
        <v>-0.02</v>
      </c>
      <c r="E14" s="14">
        <f>IF(Cover!$C$9="Downside",D14,C14)</f>
        <v/>
      </c>
    </row>
    <row r="15">
      <c r="B15" t="inlineStr">
        <is>
          <t>Expenditure growth</t>
        </is>
      </c>
      <c r="C15" s="13" t="n">
        <v>0.035</v>
      </c>
      <c r="D15" s="13" t="n">
        <v>0.05</v>
      </c>
      <c r="E15" s="14">
        <f>IF(Cover!$C$9="Downside",D15,C15)</f>
        <v/>
      </c>
    </row>
    <row r="16">
      <c r="B16" t="inlineStr">
        <is>
          <t>Effective interest rate (r)</t>
        </is>
      </c>
      <c r="C16" s="13" t="n">
        <v>0.045</v>
      </c>
      <c r="D16" s="13" t="n">
        <v>0.06</v>
      </c>
      <c r="E16" s="14">
        <f>IF(Cover!$C$9="Downside",D16,C16)</f>
        <v/>
      </c>
    </row>
    <row r="17">
      <c r="B17" t="inlineStr">
        <is>
          <t>Maximum debt / revenue</t>
        </is>
      </c>
      <c r="C17" s="15" t="n">
        <v>2.5</v>
      </c>
      <c r="D17" s="15" t="n">
        <v>2.5</v>
      </c>
      <c r="E17" s="16">
        <f>IF(Cover!$C$9="Downside",D17,C17)</f>
        <v/>
      </c>
    </row>
    <row r="18">
      <c r="B18" t="inlineStr">
        <is>
          <t>Minimum DSCR</t>
        </is>
      </c>
      <c r="C18" s="15" t="n">
        <v>1.5</v>
      </c>
      <c r="D18" s="15" t="n">
        <v>1.5</v>
      </c>
      <c r="E18" s="16">
        <f>IF(Cover!$C$9="Downside",D18,C18)</f>
        <v/>
      </c>
    </row>
    <row r="19">
      <c r="B19" t="inlineStr">
        <is>
          <t>Minimum days cash</t>
        </is>
      </c>
      <c r="C19" s="17" t="n">
        <v>90</v>
      </c>
      <c r="D19" s="17" t="n">
        <v>90</v>
      </c>
      <c r="E19" s="18">
        <f>IF(Cover!$C$9="Downside",D19,C19)</f>
        <v/>
      </c>
    </row>
    <row r="20">
      <c r="B20" t="inlineStr">
        <is>
          <t>Pension / OPEB contribution</t>
        </is>
      </c>
      <c r="C20" s="11" t="n">
        <v>90</v>
      </c>
      <c r="D20" s="11" t="n">
        <v>110</v>
      </c>
      <c r="E20" s="12">
        <f>IF(Cover!$C$9="Downside",D20,C20)</f>
        <v/>
      </c>
    </row>
    <row r="21">
      <c r="B21" t="inlineStr">
        <is>
          <t>Nominal revenue-base growth (g)</t>
        </is>
      </c>
      <c r="C21" s="13" t="n">
        <v>0.03</v>
      </c>
      <c r="D21" s="13" t="n">
        <v>0</v>
      </c>
      <c r="E21" s="14">
        <f>IF(Cover!$C$9="Downside",D21,C21)</f>
        <v/>
      </c>
    </row>
    <row r="22">
      <c r="B22" t="inlineStr">
        <is>
          <t>Current primary balance</t>
        </is>
      </c>
      <c r="C22" s="13" t="n">
        <v>0.01</v>
      </c>
      <c r="D22" s="13" t="n">
        <v>-0.03</v>
      </c>
      <c r="E22" s="14">
        <f>IF(Cover!$C$9="Downside",D22,C22)</f>
        <v/>
      </c>
    </row>
    <row r="23">
      <c r="B23" t="inlineStr">
        <is>
          <t>Debt-service reserve fund</t>
        </is>
      </c>
      <c r="C23" s="11" t="n">
        <v>50</v>
      </c>
      <c r="D23" s="11" t="n">
        <v>40</v>
      </c>
      <c r="E23" s="12">
        <f>IF(Cover!$C$9="Downside",D23,C23)</f>
        <v/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16" customWidth="1" min="5" max="5"/>
    <col width="48" customWidth="1" min="6" max="6"/>
  </cols>
  <sheetData>
    <row r="2" ht="28" customHeight="1">
      <c r="B2" s="1" t="inlineStr">
        <is>
          <t>Debt Sustainability Analysis</t>
        </is>
      </c>
    </row>
    <row r="4">
      <c r="B4" s="8" t="inlineStr">
        <is>
          <t>Metric</t>
        </is>
      </c>
      <c r="C4" s="8" t="inlineStr">
        <is>
          <t>Active</t>
        </is>
      </c>
      <c r="D4" s="8" t="inlineStr">
        <is>
          <t>Downside</t>
        </is>
      </c>
      <c r="E4" s="8" t="inlineStr">
        <is>
          <t>Units</t>
        </is>
      </c>
      <c r="F4" s="8" t="inlineStr">
        <is>
          <t>Interpretation</t>
        </is>
      </c>
    </row>
    <row r="5">
      <c r="B5" t="inlineStr">
        <is>
          <t>Debt ratio</t>
        </is>
      </c>
      <c r="C5" s="19">
        <f>IFERROR(Assumptions!E10/Assumptions!E6,0)</f>
        <v/>
      </c>
      <c r="D5" s="19">
        <f>IFERROR(Assumptions!D10/Assumptions!D6,0)</f>
        <v/>
      </c>
      <c r="E5" t="inlineStr">
        <is>
          <t>0.0x;[Red](0.0x);-</t>
        </is>
      </c>
      <c r="F5" t="inlineStr">
        <is>
          <t>Debt / recurring revenue or GDP proxy</t>
        </is>
      </c>
    </row>
    <row r="6">
      <c r="B6" t="inlineStr">
        <is>
          <t>Effective rate (r)</t>
        </is>
      </c>
      <c r="C6" s="20">
        <f>Assumptions!E16</f>
        <v/>
      </c>
      <c r="D6" s="20">
        <f>Assumptions!D16</f>
        <v/>
      </c>
      <c r="E6" t="inlineStr">
        <is>
          <t>0.0%;[Red](0.0%);-</t>
        </is>
      </c>
      <c r="F6" t="inlineStr">
        <is>
          <t>Weighted effective debt cost</t>
        </is>
      </c>
    </row>
    <row r="7">
      <c r="B7" t="inlineStr">
        <is>
          <t>Nominal growth (g)</t>
        </is>
      </c>
      <c r="C7" s="20">
        <f>Assumptions!E21</f>
        <v/>
      </c>
      <c r="D7" s="20">
        <f>Assumptions!D21</f>
        <v/>
      </c>
      <c r="E7" t="inlineStr">
        <is>
          <t>0.0%;[Red](0.0%);-</t>
        </is>
      </c>
      <c r="F7" t="inlineStr">
        <is>
          <t>Nominal revenue-base growth</t>
        </is>
      </c>
    </row>
    <row r="8">
      <c r="B8" t="inlineStr">
        <is>
          <t>r - g</t>
        </is>
      </c>
      <c r="C8" s="20">
        <f>C6-C7</f>
        <v/>
      </c>
      <c r="D8" s="20">
        <f>D6-D7</f>
        <v/>
      </c>
      <c r="E8" t="inlineStr">
        <is>
          <t>0.0%;[Red](0.0%);-</t>
        </is>
      </c>
      <c r="F8" t="inlineStr">
        <is>
          <t>Positive differential raises stabilization burden</t>
        </is>
      </c>
    </row>
    <row r="9">
      <c r="B9" t="inlineStr">
        <is>
          <t>Current primary balance</t>
        </is>
      </c>
      <c r="C9" s="20">
        <f>Assumptions!E22</f>
        <v/>
      </c>
      <c r="D9" s="20">
        <f>Assumptions!D22</f>
        <v/>
      </c>
      <c r="E9" t="inlineStr">
        <is>
          <t>0.0%;[Red](0.0%);-</t>
        </is>
      </c>
      <c r="F9" t="inlineStr">
        <is>
          <t>Surplus positive</t>
        </is>
      </c>
    </row>
    <row r="10">
      <c r="B10" t="inlineStr">
        <is>
          <t>Debt-stabilizing primary balance</t>
        </is>
      </c>
      <c r="C10" s="20">
        <f>IFERROR((C6-C7)/(1+C7)*C5,0)</f>
        <v/>
      </c>
      <c r="D10" s="20">
        <f>IFERROR((D6-D7)/(1+D7)*D5,0)</f>
        <v/>
      </c>
      <c r="E10" t="inlineStr">
        <is>
          <t>0.0%;[Red](0.0%);-</t>
        </is>
      </c>
      <c r="F10" t="inlineStr">
        <is>
          <t>Required balance to stabilize debt ratio</t>
        </is>
      </c>
    </row>
    <row r="11">
      <c r="B11" t="inlineStr">
        <is>
          <t>Primary-balance gap</t>
        </is>
      </c>
      <c r="C11" s="20">
        <f>C9-C10</f>
        <v/>
      </c>
      <c r="D11" s="20">
        <f>D9-D10</f>
        <v/>
      </c>
      <c r="E11" t="inlineStr">
        <is>
          <t>0.0%;[Red](0.0%);-</t>
        </is>
      </c>
      <c r="F11" t="inlineStr">
        <is>
          <t>Positive is stronger than stabilizing</t>
        </is>
      </c>
    </row>
    <row r="12">
      <c r="B12" t="inlineStr">
        <is>
          <t>One-year projected debt ratio</t>
        </is>
      </c>
      <c r="C12" s="19">
        <f>IFERROR((1+C6)/(1+C7)*C5-C9,0)</f>
        <v/>
      </c>
      <c r="D12" s="19">
        <f>IFERROR((1+D6)/(1+D7)*D5-D9,0)</f>
        <v/>
      </c>
      <c r="E12" t="inlineStr">
        <is>
          <t>0.0x;[Red](0.0x);-</t>
        </is>
      </c>
      <c r="F12" t="inlineStr">
        <is>
          <t>Standard debt-dynamics identity</t>
        </is>
      </c>
    </row>
    <row r="13">
      <c r="B13" t="inlineStr">
        <is>
          <t>Trajectory</t>
        </is>
      </c>
      <c r="C13">
        <f>IF(C12&lt;=C5,"STABILIZING / FALLING","RISING")</f>
        <v/>
      </c>
      <c r="D13">
        <f>IF(D12&lt;=D5,"STABILIZING / FALLING","RISING")</f>
        <v/>
      </c>
      <c r="E13" t="inlineStr">
        <is>
          <t>status</t>
        </is>
      </c>
      <c r="F13" t="inlineStr">
        <is>
          <t>Screen excludes stock-flow adjustments</t>
        </is>
      </c>
    </row>
  </sheetData>
  <mergeCells count="1">
    <mergeCell ref="B2:F2"/>
  </mergeCells>
  <conditionalFormatting sqref="C13:D13">
    <cfRule type="expression" priority="1" dxfId="0">
      <formula>C13="STABILIZING / FALLING"</formula>
    </cfRule>
    <cfRule type="expression" priority="2" dxfId="1">
      <formula>C13="RISING"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28" customHeight="1">
      <c r="B2" s="1" t="inlineStr">
        <is>
          <t>Operating Forecast</t>
        </is>
      </c>
    </row>
    <row r="4">
      <c r="B4" s="8" t="inlineStr">
        <is>
          <t>$mm</t>
        </is>
      </c>
      <c r="C4" s="8" t="inlineStr">
        <is>
          <t>Current</t>
        </is>
      </c>
      <c r="D4" s="8" t="inlineStr">
        <is>
          <t>Year 1</t>
        </is>
      </c>
      <c r="E4" s="8" t="inlineStr">
        <is>
          <t>Year 2</t>
        </is>
      </c>
      <c r="F4" s="8" t="inlineStr">
        <is>
          <t>Year 3</t>
        </is>
      </c>
      <c r="G4" s="8" t="inlineStr">
        <is>
          <t>Year 4</t>
        </is>
      </c>
      <c r="H4" s="8" t="inlineStr">
        <is>
          <t>Year 5</t>
        </is>
      </c>
    </row>
    <row r="5">
      <c r="B5" t="inlineStr">
        <is>
          <t>Recurring revenue</t>
        </is>
      </c>
      <c r="C5" s="12">
        <f>Assumptions!E6</f>
        <v/>
      </c>
      <c r="D5" s="21">
        <f>C5*(1+Assumptions!$E$14)</f>
        <v/>
      </c>
      <c r="E5" s="21">
        <f>D5*(1+Assumptions!$E$14)</f>
        <v/>
      </c>
      <c r="F5" s="21">
        <f>E5*(1+Assumptions!$E$14)</f>
        <v/>
      </c>
      <c r="G5" s="21">
        <f>F5*(1+Assumptions!$E$14)</f>
        <v/>
      </c>
      <c r="H5" s="21">
        <f>G5*(1+Assumptions!$E$14)</f>
        <v/>
      </c>
    </row>
    <row r="6">
      <c r="B6" t="inlineStr">
        <is>
          <t>Revenue growth</t>
        </is>
      </c>
      <c r="D6" s="20">
        <f>IFERROR(D5/C5-1,0)</f>
        <v/>
      </c>
      <c r="E6" s="20">
        <f>IFERROR(E5/D5-1,0)</f>
        <v/>
      </c>
      <c r="F6" s="20">
        <f>IFERROR(F5/E5-1,0)</f>
        <v/>
      </c>
      <c r="G6" s="20">
        <f>IFERROR(G5/F5-1,0)</f>
        <v/>
      </c>
      <c r="H6" s="20">
        <f>IFERROR(H5/G5-1,0)</f>
        <v/>
      </c>
    </row>
    <row r="7">
      <c r="B7" t="inlineStr">
        <is>
          <t>Recurring expenditure</t>
        </is>
      </c>
      <c r="C7" s="12">
        <f>Assumptions!E7</f>
        <v/>
      </c>
      <c r="D7" s="21">
        <f>C7*(1+Assumptions!$E$15)</f>
        <v/>
      </c>
      <c r="E7" s="21">
        <f>D7*(1+Assumptions!$E$15)</f>
        <v/>
      </c>
      <c r="F7" s="21">
        <f>E7*(1+Assumptions!$E$15)</f>
        <v/>
      </c>
      <c r="G7" s="21">
        <f>F7*(1+Assumptions!$E$15)</f>
        <v/>
      </c>
      <c r="H7" s="21">
        <f>G7*(1+Assumptions!$E$15)</f>
        <v/>
      </c>
    </row>
    <row r="8">
      <c r="B8" t="inlineStr">
        <is>
          <t>Expenditure growth</t>
        </is>
      </c>
      <c r="D8" s="20">
        <f>IFERROR(D7/C7-1,0)</f>
        <v/>
      </c>
      <c r="E8" s="20">
        <f>IFERROR(E7/D7-1,0)</f>
        <v/>
      </c>
      <c r="F8" s="20">
        <f>IFERROR(F7/E7-1,0)</f>
        <v/>
      </c>
      <c r="G8" s="20">
        <f>IFERROR(G7/F7-1,0)</f>
        <v/>
      </c>
      <c r="H8" s="20">
        <f>IFERROR(H7/G7-1,0)</f>
        <v/>
      </c>
    </row>
    <row r="9">
      <c r="B9" s="22" t="inlineStr">
        <is>
          <t>Operating surplus</t>
        </is>
      </c>
      <c r="C9" s="23">
        <f>C5-C7</f>
        <v/>
      </c>
      <c r="D9" s="23">
        <f>D5-D7</f>
        <v/>
      </c>
      <c r="E9" s="23">
        <f>E5-E7</f>
        <v/>
      </c>
      <c r="F9" s="23">
        <f>F5-F7</f>
        <v/>
      </c>
      <c r="G9" s="23">
        <f>G5-G7</f>
        <v/>
      </c>
      <c r="H9" s="23">
        <f>H5-H7</f>
        <v/>
      </c>
    </row>
    <row r="10">
      <c r="B10" t="inlineStr">
        <is>
          <t>Operating margin</t>
        </is>
      </c>
      <c r="C10" s="20">
        <f>IFERROR(C9/C5,0)</f>
        <v/>
      </c>
      <c r="D10" s="20">
        <f>IFERROR(D9/D5,0)</f>
        <v/>
      </c>
      <c r="E10" s="20">
        <f>IFERROR(E9/E5,0)</f>
        <v/>
      </c>
      <c r="F10" s="20">
        <f>IFERROR(F9/F5,0)</f>
        <v/>
      </c>
      <c r="G10" s="20">
        <f>IFERROR(G9/G5,0)</f>
        <v/>
      </c>
      <c r="H10" s="20">
        <f>IFERROR(H9/H5,0)</f>
        <v/>
      </c>
    </row>
    <row r="11">
      <c r="B11" t="inlineStr">
        <is>
          <t>Pension / OPEB contribution</t>
        </is>
      </c>
      <c r="C11" s="12">
        <f>Assumptions!E20</f>
        <v/>
      </c>
      <c r="D11" s="21">
        <f>Assumptions!$E$20</f>
        <v/>
      </c>
      <c r="E11" s="21">
        <f>Assumptions!$E$20</f>
        <v/>
      </c>
      <c r="F11" s="21">
        <f>Assumptions!$E$20</f>
        <v/>
      </c>
      <c r="G11" s="21">
        <f>Assumptions!$E$20</f>
        <v/>
      </c>
      <c r="H11" s="21">
        <f>Assumptions!$E$20</f>
        <v/>
      </c>
    </row>
    <row r="12">
      <c r="B12" s="22" t="inlineStr">
        <is>
          <t>Net operating result</t>
        </is>
      </c>
      <c r="C12" s="23">
        <f>C9-C11</f>
        <v/>
      </c>
      <c r="D12" s="23">
        <f>D9-D11</f>
        <v/>
      </c>
      <c r="E12" s="23">
        <f>E9-E11</f>
        <v/>
      </c>
      <c r="F12" s="23">
        <f>F9-F11</f>
        <v/>
      </c>
      <c r="G12" s="23">
        <f>G9-G11</f>
        <v/>
      </c>
      <c r="H12" s="23">
        <f>H9-H11</f>
        <v/>
      </c>
    </row>
    <row r="13">
      <c r="B13" t="inlineStr">
        <is>
          <t>Capital expenditure</t>
        </is>
      </c>
      <c r="C13" s="12">
        <f>Assumptions!E8</f>
        <v/>
      </c>
      <c r="D13" s="21">
        <f>Assumptions!$E$8</f>
        <v/>
      </c>
      <c r="E13" s="21">
        <f>Assumptions!$E$8</f>
        <v/>
      </c>
      <c r="F13" s="21">
        <f>Assumptions!$E$8</f>
        <v/>
      </c>
      <c r="G13" s="21">
        <f>Assumptions!$E$8</f>
        <v/>
      </c>
      <c r="H13" s="21">
        <f>Assumptions!$E$8</f>
        <v/>
      </c>
    </row>
    <row r="14">
      <c r="B14" s="22" t="inlineStr">
        <is>
          <t>FCF before debt service</t>
        </is>
      </c>
      <c r="C14" s="23">
        <f>C12-C13</f>
        <v/>
      </c>
      <c r="D14" s="23">
        <f>D12-D13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 ht="28" customHeight="1">
      <c r="B2" s="1" t="inlineStr">
        <is>
          <t>Debt Service, Borrowing &amp; Reserves</t>
        </is>
      </c>
    </row>
    <row r="4">
      <c r="B4" s="8" t="inlineStr">
        <is>
          <t>$mm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B5" t="inlineStr">
        <is>
          <t>Beginning debt</t>
        </is>
      </c>
      <c r="C5" s="21">
        <f>Assumptions!E10</f>
        <v/>
      </c>
      <c r="D5" s="21">
        <f>C11</f>
        <v/>
      </c>
      <c r="E5" s="21">
        <f>D11</f>
        <v/>
      </c>
      <c r="F5" s="21">
        <f>E11</f>
        <v/>
      </c>
      <c r="G5" s="21">
        <f>F11</f>
        <v/>
      </c>
    </row>
    <row r="6">
      <c r="B6" t="inlineStr">
        <is>
          <t>Scheduled principal</t>
        </is>
      </c>
      <c r="C6" s="21">
        <f>MIN(C5,Assumptions!$E$11)</f>
        <v/>
      </c>
      <c r="D6" s="21">
        <f>MIN(D5,Assumptions!$E$11)</f>
        <v/>
      </c>
      <c r="E6" s="21">
        <f>MIN(E5,Assumptions!$E$11)</f>
        <v/>
      </c>
      <c r="F6" s="21">
        <f>MIN(F5,Assumptions!$E$11)</f>
        <v/>
      </c>
      <c r="G6" s="21">
        <f>MIN(G5,Assumptions!$E$11)</f>
        <v/>
      </c>
    </row>
    <row r="7">
      <c r="B7" t="inlineStr">
        <is>
          <t>Cash interest</t>
        </is>
      </c>
      <c r="C7" s="21">
        <f>C5*Assumptions!$E$16</f>
        <v/>
      </c>
      <c r="D7" s="21">
        <f>D5*Assumptions!$E$16</f>
        <v/>
      </c>
      <c r="E7" s="21">
        <f>E5*Assumptions!$E$16</f>
        <v/>
      </c>
      <c r="F7" s="21">
        <f>F5*Assumptions!$E$16</f>
        <v/>
      </c>
      <c r="G7" s="21">
        <f>G5*Assumptions!$E$16</f>
        <v/>
      </c>
    </row>
    <row r="8">
      <c r="B8" s="22" t="inlineStr">
        <is>
          <t>Total debt service</t>
        </is>
      </c>
      <c r="C8" s="23">
        <f>C6+C7</f>
        <v/>
      </c>
      <c r="D8" s="23">
        <f>D6+D7</f>
        <v/>
      </c>
      <c r="E8" s="23">
        <f>E6+E7</f>
        <v/>
      </c>
      <c r="F8" s="23">
        <f>F6+F7</f>
        <v/>
      </c>
      <c r="G8" s="23">
        <f>G6+G7</f>
        <v/>
      </c>
    </row>
    <row r="9">
      <c r="B9" t="inlineStr">
        <is>
          <t>FCF before debt service</t>
        </is>
      </c>
      <c r="C9" s="21">
        <f>'Revenue &amp; Expenditure'!D14</f>
        <v/>
      </c>
      <c r="D9" s="21">
        <f>'Revenue &amp; Expenditure'!E14</f>
        <v/>
      </c>
      <c r="E9" s="21">
        <f>'Revenue &amp; Expenditure'!F14</f>
        <v/>
      </c>
      <c r="F9" s="21">
        <f>'Revenue &amp; Expenditure'!G14</f>
        <v/>
      </c>
      <c r="G9" s="21">
        <f>'Revenue &amp; Expenditure'!H14</f>
        <v/>
      </c>
    </row>
    <row r="10">
      <c r="B10" t="inlineStr">
        <is>
          <t>New borrowing / funding gap</t>
        </is>
      </c>
      <c r="C10" s="21">
        <f>MAX(0,C8-C9)</f>
        <v/>
      </c>
      <c r="D10" s="21">
        <f>MAX(0,D8-D9)</f>
        <v/>
      </c>
      <c r="E10" s="21">
        <f>MAX(0,E8-E9)</f>
        <v/>
      </c>
      <c r="F10" s="21">
        <f>MAX(0,F8-F9)</f>
        <v/>
      </c>
      <c r="G10" s="21">
        <f>MAX(0,G8-G9)</f>
        <v/>
      </c>
    </row>
    <row r="11">
      <c r="B11" s="22" t="inlineStr">
        <is>
          <t>Ending debt</t>
        </is>
      </c>
      <c r="C11" s="23">
        <f>C5-C6+C10</f>
        <v/>
      </c>
      <c r="D11" s="23">
        <f>D5-D6+D10</f>
        <v/>
      </c>
      <c r="E11" s="23">
        <f>E5-E6+E10</f>
        <v/>
      </c>
      <c r="F11" s="23">
        <f>F5-F6+F10</f>
        <v/>
      </c>
      <c r="G11" s="23">
        <f>G5-G6+G10</f>
        <v/>
      </c>
    </row>
    <row r="12">
      <c r="B12" t="inlineStr">
        <is>
          <t>Beginning reserves</t>
        </is>
      </c>
      <c r="C12" s="21">
        <f>Assumptions!E9</f>
        <v/>
      </c>
      <c r="D12" s="21">
        <f>C13</f>
        <v/>
      </c>
      <c r="E12" s="21">
        <f>D13</f>
        <v/>
      </c>
      <c r="F12" s="21">
        <f>E13</f>
        <v/>
      </c>
      <c r="G12" s="21">
        <f>F13</f>
        <v/>
      </c>
    </row>
    <row r="13">
      <c r="B13" s="22" t="inlineStr">
        <is>
          <t>Ending reserves</t>
        </is>
      </c>
      <c r="C13" s="23">
        <f>MAX(0,C12+C9-C8+C10)</f>
        <v/>
      </c>
      <c r="D13" s="23">
        <f>MAX(0,D12+D9-D8+D10)</f>
        <v/>
      </c>
      <c r="E13" s="23">
        <f>MAX(0,E12+E9-E8+E10)</f>
        <v/>
      </c>
      <c r="F13" s="23">
        <f>MAX(0,F12+F9-F8+F10)</f>
        <v/>
      </c>
      <c r="G13" s="23">
        <f>MAX(0,G12+G9-G8+G10)</f>
        <v/>
      </c>
    </row>
    <row r="14">
      <c r="B14" t="inlineStr">
        <is>
          <t>Pledged revenue</t>
        </is>
      </c>
      <c r="C14" s="21">
        <f>Assumptions!$E$12*(1+Assumptions!$E$14)^1</f>
        <v/>
      </c>
      <c r="D14" s="21">
        <f>Assumptions!$E$12*(1+Assumptions!$E$14)^2</f>
        <v/>
      </c>
      <c r="E14" s="21">
        <f>Assumptions!$E$12*(1+Assumptions!$E$14)^3</f>
        <v/>
      </c>
      <c r="F14" s="21">
        <f>Assumptions!$E$12*(1+Assumptions!$E$14)^4</f>
        <v/>
      </c>
      <c r="G14" s="21">
        <f>Assumptions!$E$12*(1+Assumptions!$E$14)^5</f>
        <v/>
      </c>
    </row>
    <row r="15">
      <c r="B15" t="inlineStr">
        <is>
          <t>Revenue-bond DSCR</t>
        </is>
      </c>
      <c r="C15" s="19">
        <f>IFERROR(C14/C8,0)</f>
        <v/>
      </c>
      <c r="D15" s="19">
        <f>IFERROR(D14/D8,0)</f>
        <v/>
      </c>
      <c r="E15" s="19">
        <f>IFERROR(E14/E8,0)</f>
        <v/>
      </c>
      <c r="F15" s="19">
        <f>IFERROR(F14/F8,0)</f>
        <v/>
      </c>
      <c r="G15" s="19">
        <f>IFERROR(G14/G8,0)</f>
        <v/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 ht="28" customHeight="1">
      <c r="B2" s="1" t="inlineStr">
        <is>
          <t>Coverage, Liquidity &amp; Debt Burden</t>
        </is>
      </c>
    </row>
    <row r="4">
      <c r="B4" s="8" t="inlineStr">
        <is>
          <t>Metric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B5" t="inlineStr">
        <is>
          <t>Debt / recurring revenue</t>
        </is>
      </c>
      <c r="C5" s="19">
        <f>IFERROR('Debt Service'!C11/'Revenue &amp; Expenditure'!D5,0)</f>
        <v/>
      </c>
      <c r="D5" s="19">
        <f>IFERROR('Debt Service'!D11/'Revenue &amp; Expenditure'!E5,0)</f>
        <v/>
      </c>
      <c r="E5" s="19">
        <f>IFERROR('Debt Service'!E11/'Revenue &amp; Expenditure'!F5,0)</f>
        <v/>
      </c>
      <c r="F5" s="19">
        <f>IFERROR('Debt Service'!F11/'Revenue &amp; Expenditure'!G5,0)</f>
        <v/>
      </c>
      <c r="G5" s="19">
        <f>IFERROR('Debt Service'!G11/'Revenue &amp; Expenditure'!H5,0)</f>
        <v/>
      </c>
    </row>
    <row r="6">
      <c r="B6" t="inlineStr">
        <is>
          <t>Maximum debt / revenue</t>
        </is>
      </c>
      <c r="C6" s="19">
        <f>Assumptions!E17</f>
        <v/>
      </c>
      <c r="D6" s="19">
        <f>Assumptions!E17</f>
        <v/>
      </c>
      <c r="E6" s="19">
        <f>Assumptions!E17</f>
        <v/>
      </c>
      <c r="F6" s="19">
        <f>Assumptions!E17</f>
        <v/>
      </c>
      <c r="G6" s="19">
        <f>Assumptions!E17</f>
        <v/>
      </c>
    </row>
    <row r="7">
      <c r="B7" t="inlineStr">
        <is>
          <t>Debt burden headroom</t>
        </is>
      </c>
      <c r="C7" s="19">
        <f>C6-C5</f>
        <v/>
      </c>
      <c r="D7" s="19">
        <f>D6-D5</f>
        <v/>
      </c>
      <c r="E7" s="19">
        <f>E6-E5</f>
        <v/>
      </c>
      <c r="F7" s="19">
        <f>F6-F5</f>
        <v/>
      </c>
      <c r="G7" s="19">
        <f>G6-G5</f>
        <v/>
      </c>
    </row>
    <row r="8">
      <c r="B8" t="inlineStr">
        <is>
          <t>Revenue-bond DSCR</t>
        </is>
      </c>
      <c r="C8" s="19">
        <f>'Debt Service'!C15</f>
        <v/>
      </c>
      <c r="D8" s="19">
        <f>'Debt Service'!D15</f>
        <v/>
      </c>
      <c r="E8" s="19">
        <f>'Debt Service'!E15</f>
        <v/>
      </c>
      <c r="F8" s="19">
        <f>'Debt Service'!F15</f>
        <v/>
      </c>
      <c r="G8" s="19">
        <f>'Debt Service'!G15</f>
        <v/>
      </c>
    </row>
    <row r="9">
      <c r="B9" t="inlineStr">
        <is>
          <t>Minimum DSCR</t>
        </is>
      </c>
      <c r="C9" s="19">
        <f>Assumptions!E18</f>
        <v/>
      </c>
      <c r="D9" s="19">
        <f>Assumptions!E18</f>
        <v/>
      </c>
      <c r="E9" s="19">
        <f>Assumptions!E18</f>
        <v/>
      </c>
      <c r="F9" s="19">
        <f>Assumptions!E18</f>
        <v/>
      </c>
      <c r="G9" s="19">
        <f>Assumptions!E18</f>
        <v/>
      </c>
    </row>
    <row r="10">
      <c r="B10" t="inlineStr">
        <is>
          <t>DSCR headroom</t>
        </is>
      </c>
      <c r="C10" s="19">
        <f>C8-C9</f>
        <v/>
      </c>
      <c r="D10" s="19">
        <f>D8-D9</f>
        <v/>
      </c>
      <c r="E10" s="19">
        <f>E8-E9</f>
        <v/>
      </c>
      <c r="F10" s="19">
        <f>F8-F9</f>
        <v/>
      </c>
      <c r="G10" s="19">
        <f>G8-G9</f>
        <v/>
      </c>
    </row>
    <row r="11">
      <c r="B11" t="inlineStr">
        <is>
          <t>Days cash on hand</t>
        </is>
      </c>
      <c r="C11" s="24">
        <f>IFERROR('Debt Service'!C13/('Revenue &amp; Expenditure'!D7/365),0)</f>
        <v/>
      </c>
      <c r="D11" s="24">
        <f>IFERROR('Debt Service'!D13/('Revenue &amp; Expenditure'!E7/365),0)</f>
        <v/>
      </c>
      <c r="E11" s="24">
        <f>IFERROR('Debt Service'!E13/('Revenue &amp; Expenditure'!F7/365),0)</f>
        <v/>
      </c>
      <c r="F11" s="24">
        <f>IFERROR('Debt Service'!F13/('Revenue &amp; Expenditure'!G7/365),0)</f>
        <v/>
      </c>
      <c r="G11" s="24">
        <f>IFERROR('Debt Service'!G13/('Revenue &amp; Expenditure'!H7/365),0)</f>
        <v/>
      </c>
    </row>
    <row r="12">
      <c r="B12" t="inlineStr">
        <is>
          <t>Minimum days cash</t>
        </is>
      </c>
      <c r="C12" s="24">
        <f>Assumptions!E19</f>
        <v/>
      </c>
      <c r="D12" s="24">
        <f>Assumptions!E19</f>
        <v/>
      </c>
      <c r="E12" s="24">
        <f>Assumptions!E19</f>
        <v/>
      </c>
      <c r="F12" s="24">
        <f>Assumptions!E19</f>
        <v/>
      </c>
      <c r="G12" s="24">
        <f>Assumptions!E19</f>
        <v/>
      </c>
    </row>
    <row r="13">
      <c r="B13" t="inlineStr">
        <is>
          <t>Liquidity headroom</t>
        </is>
      </c>
      <c r="C13" s="24">
        <f>C11-C12</f>
        <v/>
      </c>
      <c r="D13" s="24">
        <f>D11-D12</f>
        <v/>
      </c>
      <c r="E13" s="24">
        <f>E11-E12</f>
        <v/>
      </c>
      <c r="F13" s="24">
        <f>F11-F12</f>
        <v/>
      </c>
      <c r="G13" s="24">
        <f>G11-G12</f>
        <v/>
      </c>
    </row>
    <row r="14">
      <c r="B14" t="inlineStr">
        <is>
          <t>Pension burden / revenue</t>
        </is>
      </c>
      <c r="C14" s="20">
        <f>IFERROR('Revenue &amp; Expenditure'!D11/'Revenue &amp; Expenditure'!D5,0)</f>
        <v/>
      </c>
      <c r="D14" s="20">
        <f>IFERROR('Revenue &amp; Expenditure'!E11/'Revenue &amp; Expenditure'!E5,0)</f>
        <v/>
      </c>
      <c r="E14" s="20">
        <f>IFERROR('Revenue &amp; Expenditure'!F11/'Revenue &amp; Expenditure'!F5,0)</f>
        <v/>
      </c>
      <c r="F14" s="20">
        <f>IFERROR('Revenue &amp; Expenditure'!G11/'Revenue &amp; Expenditure'!G5,0)</f>
        <v/>
      </c>
      <c r="G14" s="20">
        <f>IFERROR('Revenue &amp; Expenditure'!H11/'Revenue &amp; Expenditure'!H5,0)</f>
        <v/>
      </c>
    </row>
    <row r="15">
      <c r="B15" t="inlineStr">
        <is>
          <t>Status</t>
        </is>
      </c>
      <c r="C15">
        <f>IF(AND(C7&gt;=0,C10&gt;=0,C13&gt;=0),"PASS","BREACH")</f>
        <v/>
      </c>
      <c r="D15">
        <f>IF(AND(D7&gt;=0,D10&gt;=0,D13&gt;=0),"PASS","BREACH")</f>
        <v/>
      </c>
      <c r="E15">
        <f>IF(AND(E7&gt;=0,E10&gt;=0,E13&gt;=0),"PASS","BREACH")</f>
        <v/>
      </c>
      <c r="F15">
        <f>IF(AND(F7&gt;=0,F10&gt;=0,F13&gt;=0),"PASS","BREACH")</f>
        <v/>
      </c>
      <c r="G15">
        <f>IF(AND(G7&gt;=0,G10&gt;=0,G13&gt;=0),"PASS","BREACH")</f>
        <v/>
      </c>
    </row>
  </sheetData>
  <mergeCells count="1">
    <mergeCell ref="B2:G2"/>
  </mergeCells>
  <conditionalFormatting sqref="C15:G15">
    <cfRule type="expression" priority="1" dxfId="0">
      <formula>C15="PASS"</formula>
    </cfRule>
    <cfRule type="expression" priority="2" dxfId="1">
      <formula>C15="FAIL"</formula>
    </cfRule>
    <cfRule type="expression" priority="3" dxfId="2">
      <formula>C15="REVIEW"</formula>
    </cfRule>
    <cfRule type="expression" priority="4" dxfId="1">
      <formula>C15="BREACH"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32" customWidth="1" min="5" max="5"/>
  </cols>
  <sheetData>
    <row r="2" ht="28" customHeight="1">
      <c r="B2" s="1" t="inlineStr">
        <is>
          <t>Scenario Summary</t>
        </is>
      </c>
    </row>
    <row r="4">
      <c r="B4" s="8" t="inlineStr">
        <is>
          <t>Metric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Threshold / interpretation</t>
        </is>
      </c>
    </row>
    <row r="5">
      <c r="B5" t="inlineStr">
        <is>
          <t>Operating surplus</t>
        </is>
      </c>
      <c r="C5" s="21">
        <f>Assumptions!C6-Assumptions!C7-Assumptions!C20</f>
        <v/>
      </c>
      <c r="D5" s="21">
        <f>Assumptions!D6-Assumptions!D7-Assumptions!D20</f>
        <v/>
      </c>
      <c r="E5" t="inlineStr">
        <is>
          <t>Decision screen</t>
        </is>
      </c>
    </row>
    <row r="6">
      <c r="B6" t="inlineStr">
        <is>
          <t>Debt / revenue</t>
        </is>
      </c>
      <c r="C6" s="19">
        <f>IFERROR(Assumptions!C10/Assumptions!C6,0)</f>
        <v/>
      </c>
      <c r="D6" s="19">
        <f>IFERROR(Assumptions!D10/Assumptions!D6,0)</f>
        <v/>
      </c>
      <c r="E6" t="inlineStr">
        <is>
          <t>Decision screen</t>
        </is>
      </c>
    </row>
    <row r="7">
      <c r="B7" t="inlineStr">
        <is>
          <t>Revenue-bond DSCR</t>
        </is>
      </c>
      <c r="C7" s="19">
        <f>IFERROR(Assumptions!C12/(Assumptions!C11+Assumptions!C10*Assumptions!C16),0)</f>
        <v/>
      </c>
      <c r="D7" s="19">
        <f>IFERROR(Assumptions!D12/(Assumptions!D11+Assumptions!D10*Assumptions!D16),0)</f>
        <v/>
      </c>
      <c r="E7" t="inlineStr">
        <is>
          <t>Decision screen</t>
        </is>
      </c>
    </row>
    <row r="8">
      <c r="B8" t="inlineStr">
        <is>
          <t>Days cash</t>
        </is>
      </c>
      <c r="C8" s="24">
        <f>IFERROR(Assumptions!C9/(Assumptions!C7/365),0)</f>
        <v/>
      </c>
      <c r="D8" s="24">
        <f>IFERROR(Assumptions!D9/(Assumptions!D7/365),0)</f>
        <v/>
      </c>
      <c r="E8" t="inlineStr">
        <is>
          <t>Decision screen</t>
        </is>
      </c>
    </row>
    <row r="9">
      <c r="B9" t="inlineStr">
        <is>
          <t>Debt-stabilizing primary balance</t>
        </is>
      </c>
      <c r="C9" s="20">
        <f>IFERROR((Assumptions!C16-Assumptions!C21)/(1+Assumptions!C21)*(Assumptions!C10/Assumptions!C6),0)</f>
        <v/>
      </c>
      <c r="D9" s="20">
        <f>IFERROR((Assumptions!D16-Assumptions!D21)/(1+Assumptions!D21)*(Assumptions!D10/Assumptions!D6),0)</f>
        <v/>
      </c>
      <c r="E9" t="inlineStr">
        <is>
          <t>Decision screen</t>
        </is>
      </c>
    </row>
    <row r="10">
      <c r="B10" t="inlineStr">
        <is>
          <t>Overall</t>
        </is>
      </c>
      <c r="C10">
        <f>IF(AND(C5&gt;0,C6&lt;=Assumptions!C17,C7&gt;=Assumptions!C18,C8&gt;=Assumptions!C19),"PASS","REVIEW")</f>
        <v/>
      </c>
      <c r="D10">
        <f>IF(AND(D5&gt;0,D6&lt;=Assumptions!D17,D7&gt;=Assumptions!D18,D8&gt;=Assumptions!D19),"PASS","REVIEW")</f>
        <v/>
      </c>
      <c r="E10" t="inlineStr">
        <is>
          <t>Decision screen</t>
        </is>
      </c>
    </row>
  </sheetData>
  <mergeCells count="1">
    <mergeCell ref="B2:E2"/>
  </mergeCells>
  <conditionalFormatting sqref="C10:D10">
    <cfRule type="expression" priority="1" dxfId="0">
      <formula>C10="PASS"</formula>
    </cfRule>
    <cfRule type="expression" priority="2" dxfId="1">
      <formula>C10="FAIL"</formula>
    </cfRule>
    <cfRule type="expression" priority="3" dxfId="2">
      <formula>C10="REVIEW"</formula>
    </cfRule>
    <cfRule type="expression" priority="4" dxfId="1">
      <formula>C10="BREACH"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 ht="28" customHeight="1">
      <c r="B2" s="1" t="inlineStr">
        <is>
          <t>Debt Ratio Sensitivity — One Year</t>
        </is>
      </c>
    </row>
    <row r="4">
      <c r="B4" s="8" t="inlineStr">
        <is>
          <t>Primary balance / r-g</t>
        </is>
      </c>
      <c r="C4" s="25" t="n">
        <v>-0.02</v>
      </c>
      <c r="D4" s="25" t="n">
        <v>0</v>
      </c>
      <c r="E4" s="25" t="n">
        <v>0.02</v>
      </c>
      <c r="F4" s="25" t="n">
        <v>0.04</v>
      </c>
      <c r="G4" s="25" t="n">
        <v>0.06</v>
      </c>
    </row>
    <row r="5">
      <c r="B5" s="20" t="n">
        <v>-0.05</v>
      </c>
      <c r="C5" s="19">
        <f>'Debt Sustainability'!$C$5*(1+C$4)-$B5</f>
        <v/>
      </c>
      <c r="D5" s="19">
        <f>'Debt Sustainability'!$C$5*(1+D$4)-$B5</f>
        <v/>
      </c>
      <c r="E5" s="19">
        <f>'Debt Sustainability'!$C$5*(1+E$4)-$B5</f>
        <v/>
      </c>
      <c r="F5" s="19">
        <f>'Debt Sustainability'!$C$5*(1+F$4)-$B5</f>
        <v/>
      </c>
      <c r="G5" s="19">
        <f>'Debt Sustainability'!$C$5*(1+G$4)-$B5</f>
        <v/>
      </c>
    </row>
    <row r="6">
      <c r="B6" s="20" t="n">
        <v>-0.025</v>
      </c>
      <c r="C6" s="19">
        <f>'Debt Sustainability'!$C$5*(1+C$4)-$B6</f>
        <v/>
      </c>
      <c r="D6" s="19">
        <f>'Debt Sustainability'!$C$5*(1+D$4)-$B6</f>
        <v/>
      </c>
      <c r="E6" s="19">
        <f>'Debt Sustainability'!$C$5*(1+E$4)-$B6</f>
        <v/>
      </c>
      <c r="F6" s="19">
        <f>'Debt Sustainability'!$C$5*(1+F$4)-$B6</f>
        <v/>
      </c>
      <c r="G6" s="19">
        <f>'Debt Sustainability'!$C$5*(1+G$4)-$B6</f>
        <v/>
      </c>
    </row>
    <row r="7">
      <c r="B7" s="20" t="n">
        <v>0</v>
      </c>
      <c r="C7" s="19">
        <f>'Debt Sustainability'!$C$5*(1+C$4)-$B7</f>
        <v/>
      </c>
      <c r="D7" s="19">
        <f>'Debt Sustainability'!$C$5*(1+D$4)-$B7</f>
        <v/>
      </c>
      <c r="E7" s="19">
        <f>'Debt Sustainability'!$C$5*(1+E$4)-$B7</f>
        <v/>
      </c>
      <c r="F7" s="19">
        <f>'Debt Sustainability'!$C$5*(1+F$4)-$B7</f>
        <v/>
      </c>
      <c r="G7" s="19">
        <f>'Debt Sustainability'!$C$5*(1+G$4)-$B7</f>
        <v/>
      </c>
    </row>
    <row r="8">
      <c r="B8" s="20" t="n">
        <v>0.025</v>
      </c>
      <c r="C8" s="19">
        <f>'Debt Sustainability'!$C$5*(1+C$4)-$B8</f>
        <v/>
      </c>
      <c r="D8" s="19">
        <f>'Debt Sustainability'!$C$5*(1+D$4)-$B8</f>
        <v/>
      </c>
      <c r="E8" s="19">
        <f>'Debt Sustainability'!$C$5*(1+E$4)-$B8</f>
        <v/>
      </c>
      <c r="F8" s="19">
        <f>'Debt Sustainability'!$C$5*(1+F$4)-$B8</f>
        <v/>
      </c>
      <c r="G8" s="19">
        <f>'Debt Sustainability'!$C$5*(1+G$4)-$B8</f>
        <v/>
      </c>
    </row>
    <row r="9">
      <c r="B9" s="20" t="n">
        <v>0.05</v>
      </c>
      <c r="C9" s="19">
        <f>'Debt Sustainability'!$C$5*(1+C$4)-$B9</f>
        <v/>
      </c>
      <c r="D9" s="19">
        <f>'Debt Sustainability'!$C$5*(1+D$4)-$B9</f>
        <v/>
      </c>
      <c r="E9" s="19">
        <f>'Debt Sustainability'!$C$5*(1+E$4)-$B9</f>
        <v/>
      </c>
      <c r="F9" s="19">
        <f>'Debt Sustainability'!$C$5*(1+F$4)-$B9</f>
        <v/>
      </c>
      <c r="G9" s="19">
        <f>'Debt Sustainability'!$C$5*(1+G$4)-$B9</f>
        <v/>
      </c>
    </row>
  </sheetData>
  <mergeCells count="1">
    <mergeCell ref="B2:G2"/>
  </mergeCells>
  <conditionalFormatting sqref="C5:G9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</cols>
  <sheetData>
    <row r="2" ht="28" customHeight="1">
      <c r="B2" s="1" t="inlineStr">
        <is>
          <t>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Debt nonnegative</t>
        </is>
      </c>
      <c r="C5">
        <f>IF(MIN('Debt Service'!C11:G11)&gt;=0,"PASS","FAIL")</f>
        <v/>
      </c>
    </row>
    <row r="6">
      <c r="B6" t="inlineStr">
        <is>
          <t>Reserves nonnegative</t>
        </is>
      </c>
      <c r="C6">
        <f>IF(MIN('Debt Service'!C13:G13)&gt;=0,"PASS","FAIL")</f>
        <v/>
      </c>
    </row>
    <row r="7">
      <c r="B7" t="inlineStr">
        <is>
          <t>Coverage finite</t>
        </is>
      </c>
      <c r="C7">
        <f>IF(AND(MAX(Coverage!C5:G14)&lt;1000,MIN(Coverage!C5:G14)&gt;-1000),"PASS","FAIL")</f>
        <v/>
      </c>
    </row>
    <row r="8">
      <c r="B8" t="inlineStr">
        <is>
          <t>No coverage breach</t>
        </is>
      </c>
      <c r="C8">
        <f>IF(COUNTIF(Coverage!C15:G15,"BREACH")=0,"PASS","REVIEW")</f>
        <v/>
      </c>
    </row>
    <row r="9">
      <c r="B9" t="inlineStr">
        <is>
          <t>Debt dynamics bounded</t>
        </is>
      </c>
      <c r="C9">
        <f>IF(AND('Debt Sustainability'!C12&gt;=0,'Debt Sustainability'!C12&lt;10),"PASS","REVIEW")</f>
        <v/>
      </c>
    </row>
    <row r="10">
      <c r="B10" t="inlineStr">
        <is>
          <t>Overall</t>
        </is>
      </c>
      <c r="C10">
        <f>IF(COUNTIF(C5:C9,"FAIL")+COUNTIF(C5:C9,"REVIEW")=0,"PASS","REVIEW")</f>
        <v/>
      </c>
    </row>
  </sheetData>
  <mergeCells count="1">
    <mergeCell ref="B2:C2"/>
  </mergeCells>
  <conditionalFormatting sqref="C5:C10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6" t="inlineStr">
        <is>
          <t>Official statements / disclosures</t>
        </is>
      </c>
      <c r="C5" s="26" t="inlineStr">
        <is>
          <t>EMMA, finance ministry, issuer or audited report</t>
        </is>
      </c>
      <c r="D5" s="26" t="inlineStr">
        <is>
          <t>[period]</t>
        </is>
      </c>
      <c r="E5" s="26" t="inlineStr">
        <is>
          <t>Revenue, expenditure, debt and reserves</t>
        </is>
      </c>
    </row>
    <row r="6">
      <c r="B6" s="26" t="inlineStr">
        <is>
          <t>Accounting standards</t>
        </is>
      </c>
      <c r="C6" s="26" t="inlineStr">
        <is>
          <t>GASB, IPSAS, or applicable national standards</t>
        </is>
      </c>
      <c r="D6" s="26" t="inlineStr">
        <is>
          <t>[date]</t>
        </is>
      </c>
      <c r="E6" s="26" t="inlineStr">
        <is>
          <t>Map reporting consistently</t>
        </is>
      </c>
    </row>
    <row r="7">
      <c r="B7" s="26" t="inlineStr">
        <is>
          <t>Economic and demographic data</t>
        </is>
      </c>
      <c r="C7" s="26" t="inlineStr">
        <is>
          <t>Official statistics, FRED, or multilateral dataset</t>
        </is>
      </c>
      <c r="D7" s="26" t="inlineStr">
        <is>
          <t>[period]</t>
        </is>
      </c>
      <c r="E7" s="26" t="inlineStr">
        <is>
          <t>Freeze series and release vintage</t>
        </is>
      </c>
    </row>
    <row r="8">
      <c r="B8" s="26" t="inlineStr">
        <is>
          <t>Benchmark rates</t>
        </is>
      </c>
      <c r="C8" s="26" t="inlineStr">
        <is>
          <t>Treasury or sovereign curve</t>
        </is>
      </c>
      <c r="D8" s="26" t="inlineStr">
        <is>
          <t>[date]</t>
        </is>
      </c>
      <c r="E8" s="26" t="inlineStr">
        <is>
          <t>Refinancing and relative-value assumptions</t>
        </is>
      </c>
    </row>
    <row r="9">
      <c r="B9" s="26" t="inlineStr">
        <is>
          <t>Debt sustainability method</t>
        </is>
      </c>
      <c r="C9" s="26" t="inlineStr">
        <is>
          <t>IMF / World Bank public methodology</t>
        </is>
      </c>
      <c r="D9" s="26" t="inlineStr">
        <is>
          <t>[date]</t>
        </is>
      </c>
      <c r="E9" s="26" t="inlineStr">
        <is>
          <t>Document debt-dynamics and stress choices</t>
        </is>
      </c>
    </row>
  </sheetData>
  <mergeCells count="1"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7" t="n"/>
      <c r="C5" s="27" t="n"/>
      <c r="D5" s="27" t="n"/>
      <c r="E5" s="27" t="n"/>
      <c r="F5" s="27" t="n"/>
      <c r="G5" s="27" t="n"/>
    </row>
    <row r="6">
      <c r="B6" s="27" t="n"/>
      <c r="C6" s="27" t="n"/>
      <c r="D6" s="27" t="n"/>
      <c r="E6" s="27" t="n"/>
      <c r="F6" s="27" t="n"/>
      <c r="G6" s="27" t="n"/>
    </row>
    <row r="7">
      <c r="B7" s="27" t="n"/>
      <c r="C7" s="27" t="n"/>
      <c r="D7" s="27" t="n"/>
      <c r="E7" s="27" t="n"/>
      <c r="F7" s="27" t="n"/>
      <c r="G7" s="27" t="n"/>
    </row>
    <row r="8">
      <c r="B8" s="27" t="n"/>
      <c r="C8" s="27" t="n"/>
      <c r="D8" s="27" t="n"/>
      <c r="E8" s="27" t="n"/>
      <c r="F8" s="27" t="n"/>
      <c r="G8" s="27" t="n"/>
    </row>
    <row r="9">
      <c r="B9" s="27" t="n"/>
      <c r="C9" s="27" t="n"/>
      <c r="D9" s="27" t="n"/>
      <c r="E9" s="27" t="n"/>
      <c r="F9" s="27" t="n"/>
      <c r="G9" s="27" t="n"/>
    </row>
    <row r="10">
      <c r="B10" s="27" t="n"/>
      <c r="C10" s="27" t="n"/>
      <c r="D10" s="27" t="n"/>
      <c r="E10" s="27" t="n"/>
      <c r="F10" s="27" t="n"/>
      <c r="G10" s="27" t="n"/>
    </row>
    <row r="11">
      <c r="B11" s="27" t="n"/>
      <c r="C11" s="27" t="n"/>
      <c r="D11" s="27" t="n"/>
      <c r="E11" s="27" t="n"/>
      <c r="F11" s="27" t="n"/>
      <c r="G11" s="27" t="n"/>
    </row>
    <row r="12">
      <c r="B12" s="27" t="n"/>
      <c r="C12" s="27" t="n"/>
      <c r="D12" s="27" t="n"/>
      <c r="E12" s="27" t="n"/>
      <c r="F12" s="27" t="n"/>
      <c r="G12" s="27" t="n"/>
    </row>
    <row r="13">
      <c r="B13" s="27" t="n"/>
      <c r="C13" s="27" t="n"/>
      <c r="D13" s="27" t="n"/>
      <c r="E13" s="27" t="n"/>
      <c r="F13" s="27" t="n"/>
      <c r="G13" s="27" t="n"/>
    </row>
    <row r="14">
      <c r="B14" s="27" t="n"/>
      <c r="C14" s="27" t="n"/>
      <c r="D14" s="27" t="n"/>
      <c r="E14" s="27" t="n"/>
      <c r="F14" s="27" t="n"/>
      <c r="G14" s="27" t="n"/>
    </row>
    <row r="15">
      <c r="B15" s="27" t="n"/>
      <c r="C15" s="27" t="n"/>
      <c r="D15" s="27" t="n"/>
      <c r="E15" s="27" t="n"/>
      <c r="F15" s="27" t="n"/>
      <c r="G15" s="27" t="n"/>
    </row>
    <row r="16">
      <c r="B16" s="27" t="n"/>
      <c r="C16" s="27" t="n"/>
      <c r="D16" s="27" t="n"/>
      <c r="E16" s="27" t="n"/>
      <c r="F16" s="27" t="n"/>
      <c r="G16" s="27" t="n"/>
    </row>
    <row r="17">
      <c r="B17" s="27" t="n"/>
      <c r="C17" s="27" t="n"/>
      <c r="D17" s="27" t="n"/>
      <c r="E17" s="27" t="n"/>
      <c r="F17" s="27" t="n"/>
      <c r="G17" s="27" t="n"/>
    </row>
    <row r="18">
      <c r="B18" s="27" t="n"/>
      <c r="C18" s="27" t="n"/>
      <c r="D18" s="27" t="n"/>
      <c r="E18" s="27" t="n"/>
      <c r="F18" s="27" t="n"/>
      <c r="G18" s="27" t="n"/>
    </row>
    <row r="19">
      <c r="B19" s="27" t="n"/>
      <c r="C19" s="27" t="n"/>
      <c r="D19" s="27" t="n"/>
      <c r="E19" s="27" t="n"/>
      <c r="F19" s="27" t="n"/>
      <c r="G19" s="27" t="n"/>
    </row>
    <row r="20">
      <c r="B20" s="27" t="n"/>
      <c r="C20" s="27" t="n"/>
      <c r="D20" s="27" t="n"/>
      <c r="E20" s="27" t="n"/>
      <c r="F20" s="27" t="n"/>
      <c r="G20" s="27" t="n"/>
    </row>
    <row r="21">
      <c r="B21" s="27" t="n"/>
      <c r="C21" s="27" t="n"/>
      <c r="D21" s="27" t="n"/>
      <c r="E21" s="27" t="n"/>
      <c r="F21" s="27" t="n"/>
      <c r="G21" s="27" t="n"/>
    </row>
    <row r="22">
      <c r="B22" s="27" t="n"/>
      <c r="C22" s="27" t="n"/>
      <c r="D22" s="27" t="n"/>
      <c r="E22" s="27" t="n"/>
      <c r="F22" s="27" t="n"/>
      <c r="G22" s="27" t="n"/>
    </row>
    <row r="23">
      <c r="B23" s="27" t="n"/>
      <c r="C23" s="27" t="n"/>
      <c r="D23" s="27" t="n"/>
      <c r="E23" s="27" t="n"/>
      <c r="F23" s="27" t="n"/>
      <c r="G23" s="27" t="n"/>
    </row>
    <row r="24">
      <c r="B24" s="27" t="n"/>
      <c r="C24" s="27" t="n"/>
      <c r="D24" s="27" t="n"/>
      <c r="E24" s="27" t="n"/>
      <c r="F24" s="27" t="n"/>
      <c r="G24" s="27" t="n"/>
    </row>
    <row r="25">
      <c r="B25" s="27" t="n"/>
      <c r="C25" s="27" t="n"/>
      <c r="D25" s="27" t="n"/>
      <c r="E25" s="27" t="n"/>
      <c r="F25" s="27" t="n"/>
      <c r="G25" s="27" t="n"/>
    </row>
    <row r="26">
      <c r="B26" s="27" t="n"/>
      <c r="C26" s="27" t="n"/>
      <c r="D26" s="27" t="n"/>
      <c r="E26" s="27" t="n"/>
      <c r="F26" s="27" t="n"/>
      <c r="G26" s="27" t="n"/>
    </row>
    <row r="27">
      <c r="B27" s="27" t="n"/>
      <c r="C27" s="27" t="n"/>
      <c r="D27" s="27" t="n"/>
      <c r="E27" s="27" t="n"/>
      <c r="F27" s="27" t="n"/>
      <c r="G27" s="27" t="n"/>
    </row>
    <row r="28">
      <c r="B28" s="27" t="n"/>
      <c r="C28" s="27" t="n"/>
      <c r="D28" s="27" t="n"/>
      <c r="E28" s="27" t="n"/>
      <c r="F28" s="27" t="n"/>
      <c r="G28" s="27" t="n"/>
    </row>
    <row r="29">
      <c r="B29" s="27" t="n"/>
      <c r="C29" s="27" t="n"/>
      <c r="D29" s="27" t="n"/>
      <c r="E29" s="27" t="n"/>
      <c r="F29" s="27" t="n"/>
      <c r="G29" s="27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2026-08-04T01:30:14Z</dcterms:created>
  <dcterms:modified xsi:type="dcterms:W3CDTF">2026-08-04T01:30:14Z</dcterms:modified>
</cp:coreProperties>
</file>