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onstruction Budget" sheetId="2" state="visible" r:id="rId4"/>
    <sheet name="Operating Cash Flow" sheetId="3" state="visible" r:id="rId5"/>
    <sheet name="DSCR &amp; Debt Sizing" sheetId="4" state="visible" r:id="rId6"/>
    <sheet name="Refresh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<sst xmlns="http://schemas.openxmlformats.org/spreadsheetml/2006/main" count="53" uniqueCount="47">
  <si>
    <t xml:space="preserve">[PROJECT] — Project Finance Model</t>
  </si>
  <si>
    <t xml:space="preserve">Sector:</t>
  </si>
  <si>
    <t xml:space="preserve">Infrastructure / Energy / PPP</t>
  </si>
  <si>
    <t xml:space="preserve">Financial close date:</t>
  </si>
  <si>
    <t xml:space="preserve">[date]</t>
  </si>
  <si>
    <t xml:space="preserve">Last refreshed:</t>
  </si>
  <si>
    <t xml:space="preserve">Refresh cadence:</t>
  </si>
  <si>
    <t xml:space="preserve">Weekly during construction; monthly during ops</t>
  </si>
  <si>
    <t xml:space="preserve">Construction Budget &amp; Drawdown</t>
  </si>
  <si>
    <t xml:space="preserve">Total project cost ($)</t>
  </si>
  <si>
    <t xml:space="preserve">Debt / equity ratio (e.g. 0.70 = 70% debt)</t>
  </si>
  <si>
    <t xml:space="preserve">Construction period (months)</t>
  </si>
  <si>
    <t xml:space="preserve">Interest during construction rate (%)</t>
  </si>
  <si>
    <t xml:space="preserve">Debt drawn</t>
  </si>
  <si>
    <t xml:space="preserve">Equity drawn</t>
  </si>
  <si>
    <t xml:space="preserve">Interest during construction (IDC, simple approx.)</t>
  </si>
  <si>
    <t xml:space="preserve">Approximation: avg drawn balance x rate x period, /2 for linear drawdown</t>
  </si>
  <si>
    <t xml:space="preserve">Total debt at COD (incl. capitalized IDC)</t>
  </si>
  <si>
    <t xml:space="preserve">Operating Period Cash Flow ($mm)</t>
  </si>
  <si>
    <t xml:space="preserve">Line item</t>
  </si>
  <si>
    <t xml:space="preserve">Yr1</t>
  </si>
  <si>
    <t xml:space="preserve">Yr2</t>
  </si>
  <si>
    <t xml:space="preserve">Yr3</t>
  </si>
  <si>
    <t xml:space="preserve">Yr4</t>
  </si>
  <si>
    <t xml:space="preserve">Yr5</t>
  </si>
  <si>
    <t xml:space="preserve">Contracted/merchant revenue</t>
  </si>
  <si>
    <t xml:space="preserve">- Operating costs</t>
  </si>
  <si>
    <t xml:space="preserve">EBITDA</t>
  </si>
  <si>
    <t xml:space="preserve">- Maintenance capex reserve</t>
  </si>
  <si>
    <t xml:space="preserve">Cash flow available for debt service (CFADS)</t>
  </si>
  <si>
    <t xml:space="preserve">DSCR &amp; Debt Sizing</t>
  </si>
  <si>
    <t xml:space="preserve">CFADS</t>
  </si>
  <si>
    <t xml:space="preserve">Debt service (P&amp;I)</t>
  </si>
  <si>
    <t xml:space="preserve">DSCR (CFADS / Debt service)</t>
  </si>
  <si>
    <t xml:space="preserve">Minimum DSCR covenant</t>
  </si>
  <si>
    <t xml:space="preserve">Debt interest rate (for sizing PV)</t>
  </si>
  <si>
    <t xml:space="preserve">Debt sizing (sculpted to the DSCR covenant)</t>
  </si>
  <si>
    <t xml:space="preserve">Max annual debt service (CFADS / target DSCR)</t>
  </si>
  <si>
    <t xml:space="preserve">PV of max debt service (discounted at debt rate)</t>
  </si>
  <si>
    <t xml:space="preserve">Max sculpted debt (sum of PVs of annual capacity)</t>
  </si>
  <si>
    <t xml:space="preserve">This is capacity, not a repayment schedule — a real deal still needs an amortization profile (sculpted or level) that fits within it and keeps DSCR above covenant every period, not just on average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</si>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</sst>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0.00\x"/>
    <numFmt numFmtId="169" formatCode="0.00%;\(0.0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4</v>
      </c>
    </row>
    <row r="7" customFormat="false" ht="15" hidden="false" customHeight="false" outlineLevel="0" collapsed="false">
      <c r="B7" s="2" t="s">
        <v>6</v>
      </c>
      <c r="C7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40"/>
  </cols>
  <sheetData>
    <row r="2" customFormat="false" ht="19.7" hidden="false" customHeight="false" outlineLevel="0" collapsed="false">
      <c r="B2" s="1" t="s">
        <v>8</v>
      </c>
    </row>
    <row r="5" customFormat="false" ht="15" hidden="false" customHeight="false" outlineLevel="0" collapsed="false">
      <c r="B5" s="4" t="s">
        <v>9</v>
      </c>
      <c r="C5" s="5" t="n">
        <v>0</v>
      </c>
    </row>
    <row r="6" customFormat="false" ht="15" hidden="false" customHeight="false" outlineLevel="0" collapsed="false">
      <c r="B6" s="4" t="s">
        <v>10</v>
      </c>
      <c r="C6" s="6" t="n">
        <v>0.7</v>
      </c>
    </row>
    <row r="7" customFormat="false" ht="15" hidden="false" customHeight="false" outlineLevel="0" collapsed="false">
      <c r="B7" s="4" t="s">
        <v>11</v>
      </c>
      <c r="C7" s="7" t="n">
        <v>24</v>
      </c>
    </row>
    <row r="8" customFormat="false" ht="15" hidden="false" customHeight="false" outlineLevel="0" collapsed="false">
      <c r="B8" s="4" t="s">
        <v>12</v>
      </c>
      <c r="C8" s="6" t="n">
        <v>0.06</v>
      </c>
    </row>
    <row r="11" customFormat="false" ht="15" hidden="false" customHeight="false" outlineLevel="0" collapsed="false">
      <c r="B11" s="0" t="s">
        <v>13</v>
      </c>
      <c r="C11" s="8" t="n">
        <f aca="false">C5*C6</f>
        <v>0</v>
      </c>
    </row>
    <row r="12" customFormat="false" ht="15" hidden="false" customHeight="false" outlineLevel="0" collapsed="false">
      <c r="B12" s="0" t="s">
        <v>14</v>
      </c>
      <c r="C12" s="8" t="n">
        <f aca="false">C5*(1-C6)</f>
        <v>0</v>
      </c>
    </row>
    <row r="13" customFormat="false" ht="15" hidden="false" customHeight="false" outlineLevel="0" collapsed="false">
      <c r="B13" s="0" t="s">
        <v>15</v>
      </c>
      <c r="C13" s="8" t="n">
        <f aca="false">C11*C8*(C7/12)/2</f>
        <v>0</v>
      </c>
      <c r="D13" s="9" t="s">
        <v>16</v>
      </c>
    </row>
    <row r="14" customFormat="false" ht="15" hidden="false" customHeight="false" outlineLevel="0" collapsed="false">
      <c r="B14" s="0" t="s">
        <v>17</v>
      </c>
      <c r="C14" s="10" t="n">
        <f aca="false">C11+C13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18</v>
      </c>
    </row>
    <row r="4" customFormat="false" ht="15" hidden="false" customHeight="false" outlineLevel="0" collapsed="false">
      <c r="B4" s="0" t="s">
        <v>19</v>
      </c>
      <c r="C4" s="11" t="s">
        <v>20</v>
      </c>
      <c r="D4" s="11" t="s">
        <v>21</v>
      </c>
      <c r="E4" s="11" t="s">
        <v>22</v>
      </c>
      <c r="F4" s="11" t="s">
        <v>23</v>
      </c>
      <c r="G4" s="11" t="s">
        <v>24</v>
      </c>
    </row>
    <row r="5" customFormat="false" ht="15" hidden="false" customHeight="false" outlineLevel="0" collapsed="false">
      <c r="B5" s="4" t="s">
        <v>25</v>
      </c>
      <c r="C5" s="12" t="n">
        <v>0</v>
      </c>
      <c r="D5" s="12" t="n">
        <v>0</v>
      </c>
      <c r="E5" s="12" t="n">
        <v>0</v>
      </c>
      <c r="F5" s="12" t="n">
        <v>0</v>
      </c>
      <c r="G5" s="12" t="n">
        <v>0</v>
      </c>
    </row>
    <row r="6" customFormat="false" ht="15" hidden="false" customHeight="false" outlineLevel="0" collapsed="false">
      <c r="B6" s="4" t="s">
        <v>26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</row>
    <row r="7" customFormat="false" ht="15" hidden="false" customHeight="false" outlineLevel="0" collapsed="false">
      <c r="B7" s="2" t="s">
        <v>27</v>
      </c>
      <c r="C7" s="12" t="n">
        <f aca="false">C5+C6</f>
        <v>0</v>
      </c>
      <c r="D7" s="12" t="n">
        <f aca="false">D5+D6</f>
        <v>0</v>
      </c>
      <c r="E7" s="12" t="n">
        <f aca="false">E5+E6</f>
        <v>0</v>
      </c>
      <c r="F7" s="12" t="n">
        <f aca="false">F5+F6</f>
        <v>0</v>
      </c>
      <c r="G7" s="12" t="n">
        <f aca="false">G5+G6</f>
        <v>0</v>
      </c>
    </row>
    <row r="8" customFormat="false" ht="15" hidden="false" customHeight="false" outlineLevel="0" collapsed="false">
      <c r="B8" s="4" t="s">
        <v>28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</row>
    <row r="9" customFormat="false" ht="15" hidden="false" customHeight="false" outlineLevel="0" collapsed="false">
      <c r="B9" s="2" t="s">
        <v>29</v>
      </c>
      <c r="C9" s="12" t="n">
        <f aca="false">C7+C8</f>
        <v>0</v>
      </c>
      <c r="D9" s="12" t="n">
        <f aca="false">D7+D8</f>
        <v>0</v>
      </c>
      <c r="E9" s="12" t="n">
        <f aca="false">E7+E8</f>
        <v>0</v>
      </c>
      <c r="F9" s="12" t="n">
        <f aca="false">F7+F8</f>
        <v>0</v>
      </c>
      <c r="G9" s="12" t="n">
        <f aca="false">G7+G8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30</v>
      </c>
    </row>
    <row r="4" customFormat="false" ht="15" hidden="false" customHeight="false" outlineLevel="0" collapsed="false">
      <c r="C4" s="11" t="s">
        <v>20</v>
      </c>
      <c r="D4" s="11" t="s">
        <v>21</v>
      </c>
      <c r="E4" s="11" t="s">
        <v>22</v>
      </c>
      <c r="F4" s="11" t="s">
        <v>23</v>
      </c>
      <c r="G4" s="11" t="s">
        <v>24</v>
      </c>
    </row>
    <row r="5" customFormat="false" ht="15" hidden="false" customHeight="false" outlineLevel="0" collapsed="false">
      <c r="B5" s="0" t="s">
        <v>31</v>
      </c>
      <c r="C5" s="13" t="n">
        <f aca="false">'Operating Cash Flow'!C9</f>
        <v>0</v>
      </c>
      <c r="D5" s="13" t="n">
        <f aca="false">'Operating Cash Flow'!D9</f>
        <v>0</v>
      </c>
      <c r="E5" s="13" t="n">
        <f aca="false">'Operating Cash Flow'!E9</f>
        <v>0</v>
      </c>
      <c r="F5" s="13" t="n">
        <f aca="false">'Operating Cash Flow'!F9</f>
        <v>0</v>
      </c>
      <c r="G5" s="13" t="n">
        <f aca="false">'Operating Cash Flow'!G9</f>
        <v>0</v>
      </c>
    </row>
    <row r="6" customFormat="false" ht="15" hidden="false" customHeight="false" outlineLevel="0" collapsed="false">
      <c r="B6" s="0" t="s">
        <v>32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</row>
    <row r="7" customFormat="false" ht="15" hidden="false" customHeight="false" outlineLevel="0" collapsed="false">
      <c r="B7" s="0" t="s">
        <v>33</v>
      </c>
      <c r="C7" s="14" t="str">
        <f aca="false">IFERROR(C5/C6,"-")</f>
        <v>-</v>
      </c>
      <c r="D7" s="14" t="str">
        <f aca="false">IFERROR(D5/D6,"-")</f>
        <v>-</v>
      </c>
      <c r="E7" s="14" t="str">
        <f aca="false">IFERROR(E5/E6,"-")</f>
        <v>-</v>
      </c>
      <c r="F7" s="14" t="str">
        <f aca="false">IFERROR(F5/F6,"-")</f>
        <v>-</v>
      </c>
      <c r="G7" s="14" t="str">
        <f aca="false">IFERROR(G5/G6,"-")</f>
        <v>-</v>
      </c>
    </row>
    <row r="9" customFormat="false" ht="15" hidden="false" customHeight="false" outlineLevel="0" collapsed="false">
      <c r="B9" s="0" t="s">
        <v>34</v>
      </c>
      <c r="C9" s="15" t="n">
        <v>1.2</v>
      </c>
    </row>
    <row r="10" customFormat="false" ht="15" hidden="false" customHeight="false" outlineLevel="0" collapsed="false">
      <c r="B10" s="0" t="s">
        <v>35</v>
      </c>
      <c r="C10" s="16" t="n">
        <v>0.06</v>
      </c>
    </row>
    <row r="12" customFormat="false" ht="15" hidden="false" customHeight="false" outlineLevel="0" collapsed="false">
      <c r="B12" s="17" t="s">
        <v>36</v>
      </c>
    </row>
    <row r="13" customFormat="false" ht="15" hidden="false" customHeight="false" outlineLevel="0" collapsed="false">
      <c r="B13" s="0" t="s">
        <v>37</v>
      </c>
      <c r="C13" s="8" t="n">
        <f aca="false">IFERROR(C5/$C$9,"-")</f>
        <v>0</v>
      </c>
      <c r="D13" s="8" t="n">
        <f aca="false">IFERROR(D5/$C$9,"-")</f>
        <v>0</v>
      </c>
      <c r="E13" s="8" t="n">
        <f aca="false">IFERROR(E5/$C$9,"-")</f>
        <v>0</v>
      </c>
      <c r="F13" s="8" t="n">
        <f aca="false">IFERROR(F5/$C$9,"-")</f>
        <v>0</v>
      </c>
      <c r="G13" s="8" t="n">
        <f aca="false">IFERROR(G5/$C$9,"-")</f>
        <v>0</v>
      </c>
    </row>
    <row r="14" customFormat="false" ht="15" hidden="false" customHeight="false" outlineLevel="0" collapsed="false">
      <c r="B14" s="0" t="s">
        <v>38</v>
      </c>
      <c r="C14" s="8" t="n">
        <f aca="false">IFERROR(C13/(1+$C$10)^1,"-")</f>
        <v>0</v>
      </c>
      <c r="D14" s="8" t="n">
        <f aca="false">IFERROR(D13/(1+$C$10)^2,"-")</f>
        <v>0</v>
      </c>
      <c r="E14" s="8" t="n">
        <f aca="false">IFERROR(E13/(1+$C$10)^3,"-")</f>
        <v>0</v>
      </c>
      <c r="F14" s="8" t="n">
        <f aca="false">IFERROR(F13/(1+$C$10)^4,"-")</f>
        <v>0</v>
      </c>
      <c r="G14" s="8" t="n">
        <f aca="false">IFERROR(G13/(1+$C$10)^5,"-")</f>
        <v>0</v>
      </c>
    </row>
    <row r="16" customFormat="false" ht="15" hidden="false" customHeight="false" outlineLevel="0" collapsed="false">
      <c r="B16" s="0" t="s">
        <v>39</v>
      </c>
      <c r="C16" s="10" t="n">
        <f aca="false">SUM(C14:G14)</f>
        <v>0</v>
      </c>
      <c r="D16" s="9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41</v>
      </c>
    </row>
    <row r="4" customFormat="false" ht="15" hidden="false" customHeight="false" outlineLevel="0" collapsed="false">
      <c r="B4" s="11" t="s">
        <v>42</v>
      </c>
      <c r="C4" s="11" t="s">
        <v>43</v>
      </c>
      <c r="D4" s="11" t="s">
        <v>44</v>
      </c>
      <c r="E4" s="11" t="s">
        <v>45</v>
      </c>
      <c r="F4" s="11" t="s">
        <v>46</v>
      </c>
    </row>
    <row r="5" customFormat="false" ht="15" hidden="false" customHeight="false" outlineLevel="0" collapsed="false">
      <c r="B5" s="18"/>
      <c r="C5" s="18"/>
      <c r="D5" s="18"/>
      <c r="E5" s="18"/>
      <c r="F5" s="18"/>
    </row>
    <row r="6" customFormat="false" ht="15" hidden="false" customHeight="false" outlineLevel="0" collapsed="false">
      <c r="B6" s="18"/>
      <c r="C6" s="18"/>
      <c r="D6" s="18"/>
      <c r="E6" s="18"/>
      <c r="F6" s="18"/>
    </row>
    <row r="7" customFormat="false" ht="15" hidden="false" customHeight="false" outlineLevel="0" collapsed="false">
      <c r="B7" s="18"/>
      <c r="C7" s="18"/>
      <c r="D7" s="18"/>
      <c r="E7" s="18"/>
      <c r="F7" s="18"/>
    </row>
    <row r="8" customFormat="false" ht="15" hidden="false" customHeight="false" outlineLevel="0" collapsed="false">
      <c r="B8" s="18"/>
      <c r="C8" s="18"/>
      <c r="D8" s="18"/>
      <c r="E8" s="18"/>
      <c r="F8" s="18"/>
    </row>
    <row r="9" customFormat="false" ht="15" hidden="false" customHeight="false" outlineLevel="0" collapsed="false">
      <c r="B9" s="18"/>
      <c r="C9" s="18"/>
      <c r="D9" s="18"/>
      <c r="E9" s="18"/>
      <c r="F9" s="18"/>
    </row>
    <row r="10" customFormat="false" ht="15" hidden="false" customHeight="false" outlineLevel="0" collapsed="false">
      <c r="B10" s="18"/>
      <c r="C10" s="18"/>
      <c r="D10" s="18"/>
      <c r="E10" s="18"/>
      <c r="F10" s="18"/>
    </row>
    <row r="11" customFormat="false" ht="15" hidden="false" customHeight="false" outlineLevel="0" collapsed="false">
      <c r="B11" s="18"/>
      <c r="C11" s="18"/>
      <c r="D11" s="18"/>
      <c r="E11" s="18"/>
      <c r="F11" s="18"/>
    </row>
    <row r="12" customFormat="false" ht="15" hidden="false" customHeight="false" outlineLevel="0" collapsed="false">
      <c r="B12" s="18"/>
      <c r="C12" s="18"/>
      <c r="D12" s="18"/>
      <c r="E12" s="18"/>
      <c r="F12" s="18"/>
    </row>
    <row r="13" customFormat="false" ht="15" hidden="false" customHeight="false" outlineLevel="0" collapsed="false">
      <c r="B13" s="18"/>
      <c r="C13" s="18"/>
      <c r="D13" s="18"/>
      <c r="E13" s="18"/>
      <c r="F13" s="18"/>
    </row>
    <row r="14" customFormat="false" ht="15" hidden="false" customHeight="false" outlineLevel="0" collapsed="false">
      <c r="B14" s="18"/>
      <c r="C14" s="18"/>
      <c r="D14" s="18"/>
      <c r="E14" s="18"/>
      <c r="F14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2026-08-03T23:11:30Z</dcterms:created>
  <dc:creator>openpyxl</dc:creator>
  <dc:description/>
  <dc:language>en-US</dc:language>
  <cp:lastModifiedBy/>
  <dcterms:modified xsi:type="dcterms:W3CDTF">2026-08-03T23:11:30Z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