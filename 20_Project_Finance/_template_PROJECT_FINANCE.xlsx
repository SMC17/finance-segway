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onstruction" sheetId="6" state="visible" r:id="rId6"/>
    <sheet name="Sources &amp; Uses" sheetId="7" state="visible" r:id="rId7"/>
    <sheet name="Operations" sheetId="8" state="visible" r:id="rId8"/>
    <sheet name="Debt Sculpting" sheetId="9" state="visible" r:id="rId9"/>
    <sheet name="DSRA" sheetId="10" state="visible" r:id="rId10"/>
    <sheet name="Coverage" sheetId="11" state="visible" r:id="rId11"/>
    <sheet name="Sensitivity" sheetId="12" state="visible" r:id="rId12"/>
    <sheet name="Checks" sheetId="13" state="visible" r:id="rId13"/>
    <sheet name="Sources" sheetId="14" state="visible" r:id="rId14"/>
    <sheet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  <numFmt numFmtId="168" formatCode="0.0"/>
    <numFmt numFmtId="169" formatCode="0.0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[PROJECT] — Project Finance Model</t>
        </is>
      </c>
    </row>
    <row r="4" ht="15" customHeight="1" s="32">
      <c r="B4" s="34" t="inlineStr">
        <is>
          <t>Project / concession:</t>
        </is>
      </c>
      <c r="C4" s="35" t="inlineStr">
        <is>
          <t>[Name]</t>
        </is>
      </c>
    </row>
    <row r="5" ht="15" customHeight="1" s="32">
      <c r="B5" s="34" t="inlineStr">
        <is>
          <t>Sector / jurisdiction:</t>
        </is>
      </c>
      <c r="C5" s="35" t="inlineStr">
        <is>
          <t>Power / transport / digital / PPP</t>
        </is>
      </c>
    </row>
    <row r="6" ht="15" customHeight="1" s="32">
      <c r="B6" s="34" t="inlineStr">
        <is>
          <t>Financial close / COD:</t>
        </is>
      </c>
      <c r="C6" s="35" t="inlineStr">
        <is>
          <t>[dates]</t>
        </is>
      </c>
    </row>
    <row r="7" ht="15" customHeight="1" s="32">
      <c r="B7" s="34" t="inlineStr">
        <is>
          <t>Last refreshed: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Weekly construction; monthly operations</t>
        </is>
      </c>
    </row>
    <row r="9" ht="15" customHeight="1" s="32">
      <c r="B9" s="34" t="inlineStr">
        <is>
          <t>Active scenario:</t>
        </is>
      </c>
      <c r="C9" s="35" t="inlineStr">
        <is>
          <t>Base</t>
        </is>
      </c>
    </row>
    <row r="10" ht="15" customHeight="1" s="32">
      <c r="B10" s="34" t="inlineStr">
        <is>
          <t>Units:</t>
        </is>
      </c>
      <c r="C10" s="35" t="inlineStr">
        <is>
          <t>$ in millions unless noted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Project Finance — Institutional Decision Surface</t>
        </is>
      </c>
    </row>
    <row r="4">
      <c r="B4" s="41" t="inlineStr">
        <is>
          <t>Model ID</t>
        </is>
      </c>
      <c r="C4" s="42" t="inlineStr">
        <is>
          <t>20</t>
        </is>
      </c>
    </row>
    <row r="5">
      <c r="B5" s="41" t="inlineStr">
        <is>
          <t>Domain</t>
        </is>
      </c>
      <c r="C5" s="42" t="inlineStr">
        <is>
          <t>Project Finance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tools/builders/build_project_finance_release.py</t>
        </is>
      </c>
    </row>
    <row r="8">
      <c r="B8" s="41" t="inlineStr">
        <is>
          <t>Decision arena</t>
        </is>
      </c>
      <c r="C8" s="42" t="inlineStr">
        <is>
          <t>sponsor, lender, technical adviser, offtaker, insurer and investment committee</t>
        </is>
      </c>
    </row>
    <row r="9">
      <c r="B9" s="41" t="inlineStr">
        <is>
          <t>Committee artifact</t>
        </is>
      </c>
      <c r="C9" s="42" t="inlineStr">
        <is>
          <t>bank case, downside case and financing base-case pack</t>
        </is>
      </c>
    </row>
    <row r="10">
      <c r="B10" s="41" t="inlineStr">
        <is>
          <t>Operating cadence</t>
        </is>
      </c>
      <c r="C10" s="42" t="inlineStr">
        <is>
          <t>monthly construction/operations; quarterly lender; annual model audit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t="n">
        <v>1</v>
      </c>
      <c r="C14" t="inlineStr">
        <is>
          <t>construction funding and IDC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operating CFADS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debt sculpting and DSRA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t="n">
        <v>1</v>
      </c>
      <c r="C22" t="inlineStr">
        <is>
          <t>What is the lender's base case versus sponsor case?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completion tests release support?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cash is trapped before distributions?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t="n">
        <v>1</v>
      </c>
      <c r="C30" t="inlineStr">
        <is>
          <t>delay and cost overrun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volume / resource shortfall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price / offtaker stress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t="n">
        <v>1</v>
      </c>
      <c r="C38" t="inlineStr">
        <is>
          <t>EPC and O&amp;M contracts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offtake / concession agreement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independent engineer report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t="n">
        <v>1</v>
      </c>
      <c r="C46" t="inlineStr">
        <is>
          <t>sources equal uses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construction draws conserve cost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IDC follows funded debt timing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t="n">
        <v>1</v>
      </c>
      <c r="C54" t="inlineStr">
        <is>
          <t>using sponsor schedule instead of engineer schedule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assuming liquidated damages are fully collectible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sizing debt on P50 while downside is P90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World Bank PPP Reference Guide</t>
        </is>
      </c>
      <c r="C63" t="inlineStr">
        <is>
          <t>project preparation and risk allocation</t>
        </is>
      </c>
      <c r="D63" t="inlineStr">
        <is>
          <t>https://ppp.worldbank.org/public-private-partnership/library/ppp-reference-guide-3-0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t="inlineStr"/>
      <c r="C5" t="inlineStr"/>
      <c r="D5" t="inlineStr">
        <is>
          <t>sources equal uses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construction draws conserve cost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IDC follows funded debt timing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t="inlineStr">
        <is>
          <t>construction progress</t>
        </is>
      </c>
      <c r="C5" t="inlineStr">
        <is>
          <t>monthly</t>
        </is>
      </c>
      <c r="D5" t="inlineStr">
        <is>
          <t>engineer-certified progress and cost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operating data</t>
        </is>
      </c>
      <c r="C6" t="inlineStr">
        <is>
          <t>monthly</t>
        </is>
      </c>
      <c r="D6" t="inlineStr">
        <is>
          <t>meter / volume and invoice tie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5" customWidth="1" style="31" min="3" max="5"/>
    <col width="32" customWidth="1" style="31" min="6" max="6"/>
  </cols>
  <sheetData>
    <row r="2" ht="27.75" customHeight="1" s="32">
      <c r="B2" s="33" t="inlineStr">
        <is>
          <t>Project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EPC / hard construction cost</t>
        </is>
      </c>
      <c r="C5" s="46" t="n">
        <v>800</v>
      </c>
      <c r="D5" s="46" t="n">
        <v>880</v>
      </c>
      <c r="E5" s="47">
        <f>IF(Cover!$C$9="Downside",D5,C5)</f>
        <v/>
      </c>
      <c r="F5" s="31" t="inlineStr">
        <is>
          <t>$mm</t>
        </is>
      </c>
    </row>
    <row r="6" ht="15" customHeight="1" s="32">
      <c r="B6" s="31" t="inlineStr">
        <is>
          <t>Development and owner costs</t>
        </is>
      </c>
      <c r="C6" s="46" t="n">
        <v>80</v>
      </c>
      <c r="D6" s="46" t="n">
        <v>95</v>
      </c>
      <c r="E6" s="47">
        <f>IF(Cover!$C$9="Downside",D6,C6)</f>
        <v/>
      </c>
      <c r="F6" s="31" t="inlineStr">
        <is>
          <t>$mm</t>
        </is>
      </c>
    </row>
    <row r="7" ht="15" customHeight="1" s="32">
      <c r="B7" s="31" t="inlineStr">
        <is>
          <t>Contingency / hard cost</t>
        </is>
      </c>
      <c r="C7" s="48" t="n">
        <v>0.08</v>
      </c>
      <c r="D7" s="48" t="n">
        <v>0.12</v>
      </c>
      <c r="E7" s="49">
        <f>IF(Cover!$C$9="Downside",D7,C7)</f>
        <v/>
      </c>
      <c r="F7" s="31" t="inlineStr">
        <is>
          <t>%</t>
        </is>
      </c>
    </row>
    <row r="8" ht="15" customHeight="1" s="32">
      <c r="B8" s="31" t="inlineStr">
        <is>
          <t>Debt share of pre-IDC cost</t>
        </is>
      </c>
      <c r="C8" s="48" t="n">
        <v>0.7</v>
      </c>
      <c r="D8" s="48" t="n">
        <v>0.65</v>
      </c>
      <c r="E8" s="49">
        <f>IF(Cover!$C$9="Downside",D8,C8)</f>
        <v/>
      </c>
      <c r="F8" s="31" t="inlineStr">
        <is>
          <t>%</t>
        </is>
      </c>
    </row>
    <row r="9" ht="15" customHeight="1" s="32">
      <c r="B9" s="31" t="inlineStr">
        <is>
          <t>Construction quarters</t>
        </is>
      </c>
      <c r="C9" s="50" t="n">
        <v>8</v>
      </c>
      <c r="D9" s="50" t="n">
        <v>10</v>
      </c>
      <c r="E9" s="51">
        <f>IF(Cover!$C$9="Downside",D9,C9)</f>
        <v/>
      </c>
      <c r="F9" s="31" t="inlineStr">
        <is>
          <t>quarters</t>
        </is>
      </c>
    </row>
    <row r="10" ht="15" customHeight="1" s="32">
      <c r="B10" s="31" t="inlineStr">
        <is>
          <t>Annual construction debt rate</t>
        </is>
      </c>
      <c r="C10" s="52" t="n">
        <v>0.075</v>
      </c>
      <c r="D10" s="52" t="n">
        <v>0.09</v>
      </c>
      <c r="E10" s="53">
        <f>IF(Cover!$C$9="Downside",D10,C10)</f>
        <v/>
      </c>
      <c r="F10" s="31" t="inlineStr">
        <is>
          <t>%</t>
        </is>
      </c>
    </row>
    <row r="11" ht="15" customHeight="1" s="32">
      <c r="B11" s="31" t="inlineStr">
        <is>
          <t>Year 1 contracted / merchant revenue</t>
        </is>
      </c>
      <c r="C11" s="46" t="n">
        <v>180</v>
      </c>
      <c r="D11" s="46" t="n">
        <v>150</v>
      </c>
      <c r="E11" s="47">
        <f>IF(Cover!$C$9="Downside",D11,C11)</f>
        <v/>
      </c>
      <c r="F11" s="31" t="inlineStr">
        <is>
          <t>$mm</t>
        </is>
      </c>
    </row>
    <row r="12" ht="15" customHeight="1" s="32">
      <c r="B12" s="31" t="inlineStr">
        <is>
          <t>Annual revenue growth</t>
        </is>
      </c>
      <c r="C12" s="48" t="n">
        <v>0.025</v>
      </c>
      <c r="D12" s="48" t="n">
        <v>0</v>
      </c>
      <c r="E12" s="49">
        <f>IF(Cover!$C$9="Downside",D12,C12)</f>
        <v/>
      </c>
      <c r="F12" s="31" t="inlineStr">
        <is>
          <t>%</t>
        </is>
      </c>
    </row>
    <row r="13" ht="15" customHeight="1" s="32">
      <c r="B13" s="31" t="inlineStr">
        <is>
          <t>Operating cost / revenue</t>
        </is>
      </c>
      <c r="C13" s="48" t="n">
        <v>0.28</v>
      </c>
      <c r="D13" s="48" t="n">
        <v>0.36</v>
      </c>
      <c r="E13" s="49">
        <f>IF(Cover!$C$9="Downside",D13,C13)</f>
        <v/>
      </c>
      <c r="F13" s="31" t="inlineStr">
        <is>
          <t>%</t>
        </is>
      </c>
    </row>
    <row r="14" ht="15" customHeight="1" s="32">
      <c r="B14" s="31" t="inlineStr">
        <is>
          <t>Maintenance capex / revenue</t>
        </is>
      </c>
      <c r="C14" s="48" t="n">
        <v>0.035</v>
      </c>
      <c r="D14" s="48" t="n">
        <v>0.05</v>
      </c>
      <c r="E14" s="49">
        <f>IF(Cover!$C$9="Downside",D14,C14)</f>
        <v/>
      </c>
      <c r="F14" s="31" t="inlineStr">
        <is>
          <t>%</t>
        </is>
      </c>
    </row>
    <row r="15" ht="15" customHeight="1" s="32">
      <c r="B15" s="31" t="inlineStr">
        <is>
          <t>Cash tax / EBITDA</t>
        </is>
      </c>
      <c r="C15" s="48" t="n">
        <v>0.15</v>
      </c>
      <c r="D15" s="48" t="n">
        <v>0.1</v>
      </c>
      <c r="E15" s="49">
        <f>IF(Cover!$C$9="Downside",D15,C15)</f>
        <v/>
      </c>
      <c r="F15" s="31" t="inlineStr">
        <is>
          <t>%</t>
        </is>
      </c>
    </row>
    <row r="16" ht="15" customHeight="1" s="32">
      <c r="B16" s="31" t="inlineStr">
        <is>
          <t>Target DSCR</t>
        </is>
      </c>
      <c r="C16" s="54" t="n">
        <v>1.35</v>
      </c>
      <c r="D16" s="54" t="n">
        <v>1.45</v>
      </c>
      <c r="E16" s="55">
        <f>IF(Cover!$C$9="Downside",D16,C16)</f>
        <v/>
      </c>
      <c r="F16" s="31" t="inlineStr">
        <is>
          <t>x</t>
        </is>
      </c>
    </row>
    <row r="17" ht="15" customHeight="1" s="32">
      <c r="B17" s="31" t="inlineStr">
        <is>
          <t>Minimum DSCR covenant</t>
        </is>
      </c>
      <c r="C17" s="54" t="n">
        <v>1.2</v>
      </c>
      <c r="D17" s="54" t="n">
        <v>1.2</v>
      </c>
      <c r="E17" s="55">
        <f>IF(Cover!$C$9="Downside",D17,C17)</f>
        <v/>
      </c>
      <c r="F17" s="31" t="inlineStr">
        <is>
          <t>x</t>
        </is>
      </c>
    </row>
    <row r="18" ht="15" customHeight="1" s="32">
      <c r="B18" s="31" t="inlineStr">
        <is>
          <t>Annual operating debt rate</t>
        </is>
      </c>
      <c r="C18" s="52" t="n">
        <v>0.065</v>
      </c>
      <c r="D18" s="52" t="n">
        <v>0.08</v>
      </c>
      <c r="E18" s="53">
        <f>IF(Cover!$C$9="Downside",D18,C18)</f>
        <v/>
      </c>
      <c r="F18" s="31" t="inlineStr">
        <is>
          <t>%</t>
        </is>
      </c>
    </row>
    <row r="19" ht="15" customHeight="1" s="32">
      <c r="B19" s="31" t="inlineStr">
        <is>
          <t>Debt tenor</t>
        </is>
      </c>
      <c r="C19" s="50" t="n">
        <v>10</v>
      </c>
      <c r="D19" s="50" t="n">
        <v>10</v>
      </c>
      <c r="E19" s="51">
        <f>IF(Cover!$C$9="Downside",D19,C19)</f>
        <v/>
      </c>
      <c r="F19" s="31" t="inlineStr">
        <is>
          <t>years</t>
        </is>
      </c>
    </row>
    <row r="20" ht="15" customHeight="1" s="32">
      <c r="B20" s="31" t="inlineStr">
        <is>
          <t>DSRA months of forward debt service</t>
        </is>
      </c>
      <c r="C20" s="56" t="n">
        <v>6</v>
      </c>
      <c r="D20" s="56" t="n">
        <v>9</v>
      </c>
      <c r="E20" s="57">
        <f>IF(Cover!$C$9="Downside",D20,C20)</f>
        <v/>
      </c>
      <c r="F20" s="31" t="inlineStr">
        <is>
          <t>months</t>
        </is>
      </c>
    </row>
    <row r="21" ht="15" customHeight="1" s="32">
      <c r="B21" s="31" t="inlineStr">
        <is>
          <t>Discount rate for LLCR / PLCR</t>
        </is>
      </c>
      <c r="C21" s="52" t="n">
        <v>0.07000000000000001</v>
      </c>
      <c r="D21" s="52" t="n">
        <v>0.08500000000000001</v>
      </c>
      <c r="E21" s="53">
        <f>IF(Cover!$C$9="Downside",D21,C21)</f>
        <v/>
      </c>
      <c r="F21" s="31" t="inlineStr">
        <is>
          <t>%</t>
        </is>
      </c>
    </row>
    <row r="22" ht="15" customHeight="1" s="32">
      <c r="B22" s="31" t="inlineStr">
        <is>
          <t>Residual / decommissioning reserve per year</t>
        </is>
      </c>
      <c r="C22" s="46" t="n">
        <v>2</v>
      </c>
      <c r="D22" s="46" t="n">
        <v>4</v>
      </c>
      <c r="E22" s="47">
        <f>IF(Cover!$C$9="Downside",D22,C22)</f>
        <v/>
      </c>
      <c r="F22" s="31" t="inlineStr">
        <is>
          <t>$mm</t>
        </is>
      </c>
    </row>
    <row r="23" ht="15" customHeight="1" s="32">
      <c r="B23" s="31" t="inlineStr">
        <is>
          <t>Availability / volume factor</t>
        </is>
      </c>
      <c r="C23" s="48" t="n">
        <v>0.97</v>
      </c>
      <c r="D23" s="48" t="n">
        <v>0.85</v>
      </c>
      <c r="E23" s="49">
        <f>IF(Cover!$C$9="Downside",D23,C23)</f>
        <v/>
      </c>
      <c r="F23" s="31" t="inlineStr">
        <is>
          <t>%</t>
        </is>
      </c>
    </row>
    <row r="24" ht="15" customHeight="1" s="32">
      <c r="B24" s="31" t="inlineStr">
        <is>
          <t>Inflation escalation</t>
        </is>
      </c>
      <c r="C24" s="48" t="n">
        <v>0.02</v>
      </c>
      <c r="D24" s="48" t="n">
        <v>0.03</v>
      </c>
      <c r="E24" s="49">
        <f>IF(Cover!$C$9="Downside",D24,C24)</f>
        <v/>
      </c>
      <c r="F24" s="31" t="inlineStr">
        <is>
          <t>%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M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2" customWidth="1" style="31" min="3" max="13"/>
  </cols>
  <sheetData>
    <row r="2" ht="27.75" customHeight="1" s="32">
      <c r="B2" s="33" t="inlineStr">
        <is>
          <t>Quarterly Construction Funding and IDC</t>
        </is>
      </c>
    </row>
    <row r="4" ht="15" customHeight="1" s="32">
      <c r="B4" s="45" t="inlineStr">
        <is>
          <t>$mm</t>
        </is>
      </c>
      <c r="C4" s="45" t="inlineStr">
        <is>
          <t>Q1</t>
        </is>
      </c>
      <c r="D4" s="45" t="inlineStr">
        <is>
          <t>Q2</t>
        </is>
      </c>
      <c r="E4" s="45" t="inlineStr">
        <is>
          <t>Q3</t>
        </is>
      </c>
      <c r="F4" s="45" t="inlineStr">
        <is>
          <t>Q4</t>
        </is>
      </c>
      <c r="G4" s="45" t="inlineStr">
        <is>
          <t>Q5</t>
        </is>
      </c>
      <c r="H4" s="45" t="inlineStr">
        <is>
          <t>Q6</t>
        </is>
      </c>
      <c r="I4" s="45" t="inlineStr">
        <is>
          <t>Q7</t>
        </is>
      </c>
      <c r="J4" s="45" t="inlineStr">
        <is>
          <t>Q8</t>
        </is>
      </c>
      <c r="K4" s="45" t="inlineStr">
        <is>
          <t>Q9</t>
        </is>
      </c>
      <c r="L4" s="45" t="inlineStr">
        <is>
          <t>Q10</t>
        </is>
      </c>
      <c r="M4" s="45" t="inlineStr">
        <is>
          <t>Total</t>
        </is>
      </c>
    </row>
    <row r="5" ht="15" customHeight="1" s="32">
      <c r="B5" s="31" t="inlineStr">
        <is>
          <t>Spend curve</t>
        </is>
      </c>
      <c r="C5" s="48" t="n">
        <v>0.05</v>
      </c>
      <c r="D5" s="48" t="n">
        <v>0.1</v>
      </c>
      <c r="E5" s="48" t="n">
        <v>0.15</v>
      </c>
      <c r="F5" s="48" t="n">
        <v>0.18</v>
      </c>
      <c r="G5" s="48" t="n">
        <v>0.18</v>
      </c>
      <c r="H5" s="48" t="n">
        <v>0.14</v>
      </c>
      <c r="I5" s="48" t="n">
        <v>0.12</v>
      </c>
      <c r="J5" s="48" t="n">
        <v>0.08</v>
      </c>
      <c r="K5" s="48" t="n">
        <v>0</v>
      </c>
      <c r="L5" s="48" t="n">
        <v>0</v>
      </c>
      <c r="M5" s="58">
        <f>SUM(C5:L5)</f>
        <v/>
      </c>
    </row>
    <row r="6" ht="15" customHeight="1" s="32">
      <c r="B6" s="31" t="inlineStr">
        <is>
          <t>Hard construction cost</t>
        </is>
      </c>
      <c r="C6" s="59">
        <f>IF(1&lt;=Assumptions!$E$9,Assumptions!$E$5*C$5,0)</f>
        <v/>
      </c>
      <c r="D6" s="59">
        <f>IF(2&lt;=Assumptions!$E$9,Assumptions!$E$5*D$5,0)</f>
        <v/>
      </c>
      <c r="E6" s="59">
        <f>IF(3&lt;=Assumptions!$E$9,Assumptions!$E$5*E$5,0)</f>
        <v/>
      </c>
      <c r="F6" s="59">
        <f>IF(4&lt;=Assumptions!$E$9,Assumptions!$E$5*F$5,0)</f>
        <v/>
      </c>
      <c r="G6" s="59">
        <f>IF(5&lt;=Assumptions!$E$9,Assumptions!$E$5*G$5,0)</f>
        <v/>
      </c>
      <c r="H6" s="59">
        <f>IF(6&lt;=Assumptions!$E$9,Assumptions!$E$5*H$5,0)</f>
        <v/>
      </c>
      <c r="I6" s="59">
        <f>IF(7&lt;=Assumptions!$E$9,Assumptions!$E$5*I$5,0)</f>
        <v/>
      </c>
      <c r="J6" s="59">
        <f>IF(8&lt;=Assumptions!$E$9,Assumptions!$E$5*J$5,0)</f>
        <v/>
      </c>
      <c r="K6" s="59">
        <f>IF(9&lt;=Assumptions!$E$9,Assumptions!$E$5*K$5,0)</f>
        <v/>
      </c>
      <c r="L6" s="59">
        <f>IF(10&lt;=Assumptions!$E$9,Assumptions!$E$5*L$5,0)</f>
        <v/>
      </c>
      <c r="M6" s="59">
        <f>SUM(C6:L6)</f>
        <v/>
      </c>
    </row>
    <row r="7" ht="15" customHeight="1" s="32">
      <c r="B7" s="31" t="inlineStr">
        <is>
          <t>Development / owner costs</t>
        </is>
      </c>
      <c r="C7" s="59">
        <f>IF(1&lt;=Assumptions!$E$9,Assumptions!$E$6/Assumptions!$E$9,0)</f>
        <v/>
      </c>
      <c r="D7" s="59">
        <f>IF(2&lt;=Assumptions!$E$9,Assumptions!$E$6/Assumptions!$E$9,0)</f>
        <v/>
      </c>
      <c r="E7" s="59">
        <f>IF(3&lt;=Assumptions!$E$9,Assumptions!$E$6/Assumptions!$E$9,0)</f>
        <v/>
      </c>
      <c r="F7" s="59">
        <f>IF(4&lt;=Assumptions!$E$9,Assumptions!$E$6/Assumptions!$E$9,0)</f>
        <v/>
      </c>
      <c r="G7" s="59">
        <f>IF(5&lt;=Assumptions!$E$9,Assumptions!$E$6/Assumptions!$E$9,0)</f>
        <v/>
      </c>
      <c r="H7" s="59">
        <f>IF(6&lt;=Assumptions!$E$9,Assumptions!$E$6/Assumptions!$E$9,0)</f>
        <v/>
      </c>
      <c r="I7" s="59">
        <f>IF(7&lt;=Assumptions!$E$9,Assumptions!$E$6/Assumptions!$E$9,0)</f>
        <v/>
      </c>
      <c r="J7" s="59">
        <f>IF(8&lt;=Assumptions!$E$9,Assumptions!$E$6/Assumptions!$E$9,0)</f>
        <v/>
      </c>
      <c r="K7" s="59">
        <f>IF(9&lt;=Assumptions!$E$9,Assumptions!$E$6/Assumptions!$E$9,0)</f>
        <v/>
      </c>
      <c r="L7" s="59">
        <f>IF(10&lt;=Assumptions!$E$9,Assumptions!$E$6/Assumptions!$E$9,0)</f>
        <v/>
      </c>
      <c r="M7" s="59">
        <f>SUM(C7:L7)</f>
        <v/>
      </c>
    </row>
    <row r="8" ht="15" customHeight="1" s="32">
      <c r="B8" s="31" t="inlineStr">
        <is>
          <t>Contingency</t>
        </is>
      </c>
      <c r="C8" s="59">
        <f>C6*Assumptions!$E$7</f>
        <v/>
      </c>
      <c r="D8" s="59">
        <f>D6*Assumptions!$E$7</f>
        <v/>
      </c>
      <c r="E8" s="59">
        <f>E6*Assumptions!$E$7</f>
        <v/>
      </c>
      <c r="F8" s="59">
        <f>F6*Assumptions!$E$7</f>
        <v/>
      </c>
      <c r="G8" s="59">
        <f>G6*Assumptions!$E$7</f>
        <v/>
      </c>
      <c r="H8" s="59">
        <f>H6*Assumptions!$E$7</f>
        <v/>
      </c>
      <c r="I8" s="59">
        <f>I6*Assumptions!$E$7</f>
        <v/>
      </c>
      <c r="J8" s="59">
        <f>J6*Assumptions!$E$7</f>
        <v/>
      </c>
      <c r="K8" s="59">
        <f>K6*Assumptions!$E$7</f>
        <v/>
      </c>
      <c r="L8" s="59">
        <f>L6*Assumptions!$E$7</f>
        <v/>
      </c>
      <c r="M8" s="59">
        <f>SUM(C8:L8)</f>
        <v/>
      </c>
    </row>
    <row r="9" ht="15" customHeight="1" s="32">
      <c r="B9" s="60" t="inlineStr">
        <is>
          <t>Total pre-IDC spend</t>
        </is>
      </c>
      <c r="C9" s="61">
        <f>SUM(C6:C8)</f>
        <v/>
      </c>
      <c r="D9" s="61">
        <f>SUM(D6:D8)</f>
        <v/>
      </c>
      <c r="E9" s="61">
        <f>SUM(E6:E8)</f>
        <v/>
      </c>
      <c r="F9" s="61">
        <f>SUM(F6:F8)</f>
        <v/>
      </c>
      <c r="G9" s="61">
        <f>SUM(G6:G8)</f>
        <v/>
      </c>
      <c r="H9" s="61">
        <f>SUM(H6:H8)</f>
        <v/>
      </c>
      <c r="I9" s="61">
        <f>SUM(I6:I8)</f>
        <v/>
      </c>
      <c r="J9" s="61">
        <f>SUM(J6:J8)</f>
        <v/>
      </c>
      <c r="K9" s="61">
        <f>SUM(K6:K8)</f>
        <v/>
      </c>
      <c r="L9" s="61">
        <f>SUM(L6:L8)</f>
        <v/>
      </c>
      <c r="M9" s="61">
        <f>SUM(C9:L9)</f>
        <v/>
      </c>
    </row>
    <row r="10" ht="15" customHeight="1" s="32">
      <c r="B10" s="31" t="inlineStr">
        <is>
          <t>Equity draw</t>
        </is>
      </c>
      <c r="C10" s="59">
        <f>C9*(1-Assumptions!$E$8)</f>
        <v/>
      </c>
      <c r="D10" s="59">
        <f>D9*(1-Assumptions!$E$8)</f>
        <v/>
      </c>
      <c r="E10" s="59">
        <f>E9*(1-Assumptions!$E$8)</f>
        <v/>
      </c>
      <c r="F10" s="59">
        <f>F9*(1-Assumptions!$E$8)</f>
        <v/>
      </c>
      <c r="G10" s="59">
        <f>G9*(1-Assumptions!$E$8)</f>
        <v/>
      </c>
      <c r="H10" s="59">
        <f>H9*(1-Assumptions!$E$8)</f>
        <v/>
      </c>
      <c r="I10" s="59">
        <f>I9*(1-Assumptions!$E$8)</f>
        <v/>
      </c>
      <c r="J10" s="59">
        <f>J9*(1-Assumptions!$E$8)</f>
        <v/>
      </c>
      <c r="K10" s="59">
        <f>K9*(1-Assumptions!$E$8)</f>
        <v/>
      </c>
      <c r="L10" s="59">
        <f>L9*(1-Assumptions!$E$8)</f>
        <v/>
      </c>
      <c r="M10" s="59">
        <f>SUM(C10:L10)</f>
        <v/>
      </c>
    </row>
    <row r="11" ht="15" customHeight="1" s="32">
      <c r="B11" s="31" t="inlineStr">
        <is>
          <t>Debt draw</t>
        </is>
      </c>
      <c r="C11" s="59">
        <f>C9*Assumptions!$E$8</f>
        <v/>
      </c>
      <c r="D11" s="59">
        <f>D9*Assumptions!$E$8</f>
        <v/>
      </c>
      <c r="E11" s="59">
        <f>E9*Assumptions!$E$8</f>
        <v/>
      </c>
      <c r="F11" s="59">
        <f>F9*Assumptions!$E$8</f>
        <v/>
      </c>
      <c r="G11" s="59">
        <f>G9*Assumptions!$E$8</f>
        <v/>
      </c>
      <c r="H11" s="59">
        <f>H9*Assumptions!$E$8</f>
        <v/>
      </c>
      <c r="I11" s="59">
        <f>I9*Assumptions!$E$8</f>
        <v/>
      </c>
      <c r="J11" s="59">
        <f>J9*Assumptions!$E$8</f>
        <v/>
      </c>
      <c r="K11" s="59">
        <f>K9*Assumptions!$E$8</f>
        <v/>
      </c>
      <c r="L11" s="59">
        <f>L9*Assumptions!$E$8</f>
        <v/>
      </c>
      <c r="M11" s="59">
        <f>SUM(C11:L11)</f>
        <v/>
      </c>
    </row>
    <row r="12" ht="15" customHeight="1" s="32">
      <c r="B12" s="31" t="inlineStr">
        <is>
          <t>Beginning construction debt</t>
        </is>
      </c>
      <c r="C12" s="59" t="n">
        <v>0</v>
      </c>
      <c r="D12" s="59">
        <f>C14</f>
        <v/>
      </c>
      <c r="E12" s="59">
        <f>D14</f>
        <v/>
      </c>
      <c r="F12" s="59">
        <f>E14</f>
        <v/>
      </c>
      <c r="G12" s="59">
        <f>F14</f>
        <v/>
      </c>
      <c r="H12" s="59">
        <f>G14</f>
        <v/>
      </c>
      <c r="I12" s="59">
        <f>H14</f>
        <v/>
      </c>
      <c r="J12" s="59">
        <f>I14</f>
        <v/>
      </c>
      <c r="K12" s="59">
        <f>J14</f>
        <v/>
      </c>
      <c r="L12" s="59">
        <f>K14</f>
        <v/>
      </c>
      <c r="M12" s="59">
        <f>SUM(C12:L12)</f>
        <v/>
      </c>
    </row>
    <row r="13" ht="15" customHeight="1" s="32">
      <c r="B13" s="31" t="inlineStr">
        <is>
          <t>Interest during construction</t>
        </is>
      </c>
      <c r="C13" s="59">
        <f>(C12+0.5*C11)*Assumptions!$E$10/4</f>
        <v/>
      </c>
      <c r="D13" s="59">
        <f>(D12+0.5*D11)*Assumptions!$E$10/4</f>
        <v/>
      </c>
      <c r="E13" s="59">
        <f>(E12+0.5*E11)*Assumptions!$E$10/4</f>
        <v/>
      </c>
      <c r="F13" s="59">
        <f>(F12+0.5*F11)*Assumptions!$E$10/4</f>
        <v/>
      </c>
      <c r="G13" s="59">
        <f>(G12+0.5*G11)*Assumptions!$E$10/4</f>
        <v/>
      </c>
      <c r="H13" s="59">
        <f>(H12+0.5*H11)*Assumptions!$E$10/4</f>
        <v/>
      </c>
      <c r="I13" s="59">
        <f>(I12+0.5*I11)*Assumptions!$E$10/4</f>
        <v/>
      </c>
      <c r="J13" s="59">
        <f>(J12+0.5*J11)*Assumptions!$E$10/4</f>
        <v/>
      </c>
      <c r="K13" s="59">
        <f>(K12+0.5*K11)*Assumptions!$E$10/4</f>
        <v/>
      </c>
      <c r="L13" s="59">
        <f>(L12+0.5*L11)*Assumptions!$E$10/4</f>
        <v/>
      </c>
      <c r="M13" s="59">
        <f>SUM(C13:L13)</f>
        <v/>
      </c>
    </row>
    <row r="14" ht="15" customHeight="1" s="32">
      <c r="B14" s="60" t="inlineStr">
        <is>
          <t>Ending construction debt</t>
        </is>
      </c>
      <c r="C14" s="61">
        <f>C12+C11+C13</f>
        <v/>
      </c>
      <c r="D14" s="61">
        <f>D12+D11+D13</f>
        <v/>
      </c>
      <c r="E14" s="61">
        <f>E12+E11+E13</f>
        <v/>
      </c>
      <c r="F14" s="61">
        <f>F12+F11+F13</f>
        <v/>
      </c>
      <c r="G14" s="61">
        <f>G12+G11+G13</f>
        <v/>
      </c>
      <c r="H14" s="61">
        <f>H12+H11+H13</f>
        <v/>
      </c>
      <c r="I14" s="61">
        <f>I12+I11+I13</f>
        <v/>
      </c>
      <c r="J14" s="61">
        <f>J12+J11+J13</f>
        <v/>
      </c>
      <c r="K14" s="61">
        <f>K12+K11+K13</f>
        <v/>
      </c>
      <c r="L14" s="61">
        <f>L12+L11+L13</f>
        <v/>
      </c>
      <c r="M14" s="61">
        <f>L14</f>
        <v/>
      </c>
    </row>
    <row r="15" ht="15" customHeight="1" s="32">
      <c r="B15" s="60" t="inlineStr">
        <is>
          <t>Cumulative project spend</t>
        </is>
      </c>
      <c r="C15" s="61">
        <f>C9</f>
        <v/>
      </c>
      <c r="D15" s="61">
        <f>C15+D9</f>
        <v/>
      </c>
      <c r="E15" s="61">
        <f>D15+E9</f>
        <v/>
      </c>
      <c r="F15" s="61">
        <f>E15+F9</f>
        <v/>
      </c>
      <c r="G15" s="61">
        <f>F15+G9</f>
        <v/>
      </c>
      <c r="H15" s="61">
        <f>G15+H9</f>
        <v/>
      </c>
      <c r="I15" s="61">
        <f>H15+I9</f>
        <v/>
      </c>
      <c r="J15" s="61">
        <f>I15+J9</f>
        <v/>
      </c>
      <c r="K15" s="61">
        <f>J15+K9</f>
        <v/>
      </c>
      <c r="L15" s="61">
        <f>K15+L9</f>
        <v/>
      </c>
      <c r="M15" s="61">
        <f>L15</f>
        <v/>
      </c>
    </row>
  </sheetData>
  <mergeCells count="1">
    <mergeCell ref="B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3"/>
    <col width="5" customWidth="1" style="31" min="4" max="4"/>
    <col width="34" customWidth="1" style="31" min="5" max="5"/>
    <col width="18" customWidth="1" style="31" min="6" max="6"/>
    <col width="5" customWidth="1" style="31" min="7" max="7"/>
  </cols>
  <sheetData>
    <row r="2" ht="27.75" customHeight="1" s="32">
      <c r="B2" s="33" t="inlineStr">
        <is>
          <t>Sources &amp; Uses at Financial Close</t>
        </is>
      </c>
    </row>
    <row r="4" ht="15" customHeight="1" s="32">
      <c r="B4" s="45" t="inlineStr">
        <is>
          <t>Uses</t>
        </is>
      </c>
      <c r="C4" s="45" t="inlineStr">
        <is>
          <t>Amount</t>
        </is>
      </c>
      <c r="D4" s="45" t="n"/>
      <c r="E4" s="45" t="inlineStr">
        <is>
          <t>Sources</t>
        </is>
      </c>
      <c r="F4" s="45" t="inlineStr">
        <is>
          <t>Amount</t>
        </is>
      </c>
      <c r="G4" s="45" t="n"/>
    </row>
    <row r="5" ht="15" customHeight="1" s="32">
      <c r="B5" s="31" t="inlineStr">
        <is>
          <t>Hard construction cost</t>
        </is>
      </c>
      <c r="C5" s="59">
        <f>Construction!M6</f>
        <v/>
      </c>
      <c r="E5" s="31" t="inlineStr">
        <is>
          <t>Construction / term debt</t>
        </is>
      </c>
      <c r="F5" s="59">
        <f>Construction!M14</f>
        <v/>
      </c>
    </row>
    <row r="6" ht="15" customHeight="1" s="32">
      <c r="B6" s="31" t="inlineStr">
        <is>
          <t>Development / owner costs</t>
        </is>
      </c>
      <c r="C6" s="59">
        <f>Construction!M7</f>
        <v/>
      </c>
      <c r="E6" s="31" t="inlineStr">
        <is>
          <t>Sponsor equity</t>
        </is>
      </c>
      <c r="F6" s="59">
        <f>MAX(0,C10-F5)</f>
        <v/>
      </c>
    </row>
    <row r="7" ht="15" customHeight="1" s="32">
      <c r="B7" s="31" t="inlineStr">
        <is>
          <t>Contingency</t>
        </is>
      </c>
      <c r="C7" s="59">
        <f>Construction!M8</f>
        <v/>
      </c>
      <c r="E7" s="31" t="inlineStr">
        <is>
          <t>Grants / subordinated support</t>
        </is>
      </c>
      <c r="F7" s="46" t="n">
        <v>0</v>
      </c>
    </row>
    <row r="8" ht="15" customHeight="1" s="32">
      <c r="B8" s="31" t="inlineStr">
        <is>
          <t>Interest during construction</t>
        </is>
      </c>
      <c r="C8" s="59">
        <f>Construction!M13</f>
        <v/>
      </c>
      <c r="E8" s="60" t="inlineStr">
        <is>
          <t>Total sources</t>
        </is>
      </c>
      <c r="F8" s="61">
        <f>SUM(F5:F7)</f>
        <v/>
      </c>
    </row>
    <row r="9" ht="15" customHeight="1" s="32">
      <c r="B9" s="31" t="inlineStr">
        <is>
          <t>Initial DSRA funding</t>
        </is>
      </c>
      <c r="C9" s="59">
        <f>DSRA!C7</f>
        <v/>
      </c>
      <c r="E9" s="31" t="inlineStr">
        <is>
          <t>Sources less uses</t>
        </is>
      </c>
      <c r="F9" s="59">
        <f>F8-C10</f>
        <v/>
      </c>
    </row>
    <row r="10" ht="15" customHeight="1" s="32">
      <c r="B10" s="60" t="inlineStr">
        <is>
          <t>Total uses</t>
        </is>
      </c>
      <c r="C10" s="61">
        <f>SUM(C5:C9)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2" customWidth="1" style="31" min="2" max="2"/>
    <col width="13" customWidth="1" style="31" min="3" max="12"/>
  </cols>
  <sheetData>
    <row r="2" ht="27.75" customHeight="1" s="32">
      <c r="B2" s="33" t="inlineStr">
        <is>
          <t>Ten-Year Operating Forecast and CFADS</t>
        </is>
      </c>
    </row>
    <row r="4" ht="15" customHeight="1" s="32">
      <c r="B4" s="45" t="inlineStr">
        <is>
          <t>$mm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Nominal contracted / merchant revenue</t>
        </is>
      </c>
      <c r="C5" s="59">
        <f>Assumptions!E11</f>
        <v/>
      </c>
      <c r="D5" s="59">
        <f>C5*(1+Assumptions!$E$12+Assumptions!$E$24)</f>
        <v/>
      </c>
      <c r="E5" s="59">
        <f>D5*(1+Assumptions!$E$12+Assumptions!$E$24)</f>
        <v/>
      </c>
      <c r="F5" s="59">
        <f>E5*(1+Assumptions!$E$12+Assumptions!$E$24)</f>
        <v/>
      </c>
      <c r="G5" s="59">
        <f>F5*(1+Assumptions!$E$12+Assumptions!$E$24)</f>
        <v/>
      </c>
      <c r="H5" s="59">
        <f>G5*(1+Assumptions!$E$12+Assumptions!$E$24)</f>
        <v/>
      </c>
      <c r="I5" s="59">
        <f>H5*(1+Assumptions!$E$12+Assumptions!$E$24)</f>
        <v/>
      </c>
      <c r="J5" s="59">
        <f>I5*(1+Assumptions!$E$12+Assumptions!$E$24)</f>
        <v/>
      </c>
      <c r="K5" s="59">
        <f>J5*(1+Assumptions!$E$12+Assumptions!$E$24)</f>
        <v/>
      </c>
      <c r="L5" s="59">
        <f>K5*(1+Assumptions!$E$12+Assumptions!$E$24)</f>
        <v/>
      </c>
    </row>
    <row r="6" ht="15" customHeight="1" s="32">
      <c r="B6" s="31" t="inlineStr">
        <is>
          <t>Availability-adjusted revenue</t>
        </is>
      </c>
      <c r="C6" s="59">
        <f>C5*Assumptions!$E$23</f>
        <v/>
      </c>
      <c r="D6" s="59">
        <f>D5*Assumptions!$E$23</f>
        <v/>
      </c>
      <c r="E6" s="59">
        <f>E5*Assumptions!$E$23</f>
        <v/>
      </c>
      <c r="F6" s="59">
        <f>F5*Assumptions!$E$23</f>
        <v/>
      </c>
      <c r="G6" s="59">
        <f>G5*Assumptions!$E$23</f>
        <v/>
      </c>
      <c r="H6" s="59">
        <f>H5*Assumptions!$E$23</f>
        <v/>
      </c>
      <c r="I6" s="59">
        <f>I5*Assumptions!$E$23</f>
        <v/>
      </c>
      <c r="J6" s="59">
        <f>J5*Assumptions!$E$23</f>
        <v/>
      </c>
      <c r="K6" s="59">
        <f>K5*Assumptions!$E$23</f>
        <v/>
      </c>
      <c r="L6" s="59">
        <f>L5*Assumptions!$E$23</f>
        <v/>
      </c>
    </row>
    <row r="7" ht="15" customHeight="1" s="32">
      <c r="B7" s="31" t="inlineStr">
        <is>
          <t>Operating cost</t>
        </is>
      </c>
      <c r="C7" s="59">
        <f>C6*Assumptions!$E$13</f>
        <v/>
      </c>
      <c r="D7" s="59">
        <f>D6*Assumptions!$E$13</f>
        <v/>
      </c>
      <c r="E7" s="59">
        <f>E6*Assumptions!$E$13</f>
        <v/>
      </c>
      <c r="F7" s="59">
        <f>F6*Assumptions!$E$13</f>
        <v/>
      </c>
      <c r="G7" s="59">
        <f>G6*Assumptions!$E$13</f>
        <v/>
      </c>
      <c r="H7" s="59">
        <f>H6*Assumptions!$E$13</f>
        <v/>
      </c>
      <c r="I7" s="59">
        <f>I6*Assumptions!$E$13</f>
        <v/>
      </c>
      <c r="J7" s="59">
        <f>J6*Assumptions!$E$13</f>
        <v/>
      </c>
      <c r="K7" s="59">
        <f>K6*Assumptions!$E$13</f>
        <v/>
      </c>
      <c r="L7" s="59">
        <f>L6*Assumptions!$E$13</f>
        <v/>
      </c>
    </row>
    <row r="8" ht="15" customHeight="1" s="32">
      <c r="B8" s="60" t="inlineStr">
        <is>
          <t>EBITDA</t>
        </is>
      </c>
      <c r="C8" s="61">
        <f>C6-C7</f>
        <v/>
      </c>
      <c r="D8" s="61">
        <f>D6-D7</f>
        <v/>
      </c>
      <c r="E8" s="61">
        <f>E6-E7</f>
        <v/>
      </c>
      <c r="F8" s="61">
        <f>F6-F7</f>
        <v/>
      </c>
      <c r="G8" s="61">
        <f>G6-G7</f>
        <v/>
      </c>
      <c r="H8" s="61">
        <f>H6-H7</f>
        <v/>
      </c>
      <c r="I8" s="61">
        <f>I6-I7</f>
        <v/>
      </c>
      <c r="J8" s="61">
        <f>J6-J7</f>
        <v/>
      </c>
      <c r="K8" s="61">
        <f>K6-K7</f>
        <v/>
      </c>
      <c r="L8" s="61">
        <f>L6-L7</f>
        <v/>
      </c>
    </row>
    <row r="9" ht="15" customHeight="1" s="32">
      <c r="B9" s="31" t="inlineStr">
        <is>
          <t>Cash taxes</t>
        </is>
      </c>
      <c r="C9" s="59">
        <f>MAX(0,C8*Assumptions!$E$15)</f>
        <v/>
      </c>
      <c r="D9" s="59">
        <f>MAX(0,D8*Assumptions!$E$15)</f>
        <v/>
      </c>
      <c r="E9" s="59">
        <f>MAX(0,E8*Assumptions!$E$15)</f>
        <v/>
      </c>
      <c r="F9" s="59">
        <f>MAX(0,F8*Assumptions!$E$15)</f>
        <v/>
      </c>
      <c r="G9" s="59">
        <f>MAX(0,G8*Assumptions!$E$15)</f>
        <v/>
      </c>
      <c r="H9" s="59">
        <f>MAX(0,H8*Assumptions!$E$15)</f>
        <v/>
      </c>
      <c r="I9" s="59">
        <f>MAX(0,I8*Assumptions!$E$15)</f>
        <v/>
      </c>
      <c r="J9" s="59">
        <f>MAX(0,J8*Assumptions!$E$15)</f>
        <v/>
      </c>
      <c r="K9" s="59">
        <f>MAX(0,K8*Assumptions!$E$15)</f>
        <v/>
      </c>
      <c r="L9" s="59">
        <f>MAX(0,L8*Assumptions!$E$15)</f>
        <v/>
      </c>
    </row>
    <row r="10" ht="15" customHeight="1" s="32">
      <c r="B10" s="31" t="inlineStr">
        <is>
          <t>Maintenance capex</t>
        </is>
      </c>
      <c r="C10" s="59">
        <f>C6*Assumptions!$E$14</f>
        <v/>
      </c>
      <c r="D10" s="59">
        <f>D6*Assumptions!$E$14</f>
        <v/>
      </c>
      <c r="E10" s="59">
        <f>E6*Assumptions!$E$14</f>
        <v/>
      </c>
      <c r="F10" s="59">
        <f>F6*Assumptions!$E$14</f>
        <v/>
      </c>
      <c r="G10" s="59">
        <f>G6*Assumptions!$E$14</f>
        <v/>
      </c>
      <c r="H10" s="59">
        <f>H6*Assumptions!$E$14</f>
        <v/>
      </c>
      <c r="I10" s="59">
        <f>I6*Assumptions!$E$14</f>
        <v/>
      </c>
      <c r="J10" s="59">
        <f>J6*Assumptions!$E$14</f>
        <v/>
      </c>
      <c r="K10" s="59">
        <f>K6*Assumptions!$E$14</f>
        <v/>
      </c>
      <c r="L10" s="59">
        <f>L6*Assumptions!$E$14</f>
        <v/>
      </c>
    </row>
    <row r="11" ht="15" customHeight="1" s="32">
      <c r="B11" s="31" t="inlineStr">
        <is>
          <t>Decommissioning / lifecycle reserve</t>
        </is>
      </c>
      <c r="C11" s="59">
        <f>Assumptions!$E$22</f>
        <v/>
      </c>
      <c r="D11" s="59">
        <f>Assumptions!$E$22</f>
        <v/>
      </c>
      <c r="E11" s="59">
        <f>Assumptions!$E$22</f>
        <v/>
      </c>
      <c r="F11" s="59">
        <f>Assumptions!$E$22</f>
        <v/>
      </c>
      <c r="G11" s="59">
        <f>Assumptions!$E$22</f>
        <v/>
      </c>
      <c r="H11" s="59">
        <f>Assumptions!$E$22</f>
        <v/>
      </c>
      <c r="I11" s="59">
        <f>Assumptions!$E$22</f>
        <v/>
      </c>
      <c r="J11" s="59">
        <f>Assumptions!$E$22</f>
        <v/>
      </c>
      <c r="K11" s="59">
        <f>Assumptions!$E$22</f>
        <v/>
      </c>
      <c r="L11" s="59">
        <f>Assumptions!$E$22</f>
        <v/>
      </c>
    </row>
    <row r="12" ht="15" customHeight="1" s="32">
      <c r="B12" s="60" t="inlineStr">
        <is>
          <t>CFADS</t>
        </is>
      </c>
      <c r="C12" s="61">
        <f>C8-C9-C10-C11</f>
        <v/>
      </c>
      <c r="D12" s="61">
        <f>D8-D9-D10-D11</f>
        <v/>
      </c>
      <c r="E12" s="61">
        <f>E8-E9-E10-E11</f>
        <v/>
      </c>
      <c r="F12" s="61">
        <f>F8-F9-F10-F11</f>
        <v/>
      </c>
      <c r="G12" s="61">
        <f>G8-G9-G10-G11</f>
        <v/>
      </c>
      <c r="H12" s="61">
        <f>H8-H9-H10-H11</f>
        <v/>
      </c>
      <c r="I12" s="61">
        <f>I8-I9-I10-I11</f>
        <v/>
      </c>
      <c r="J12" s="61">
        <f>J8-J9-J10-J11</f>
        <v/>
      </c>
      <c r="K12" s="61">
        <f>K8-K9-K10-K11</f>
        <v/>
      </c>
      <c r="L12" s="61">
        <f>L8-L9-L10-L11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L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4" customWidth="1" style="31" min="2" max="2"/>
    <col width="13" customWidth="1" style="31" min="3" max="12"/>
  </cols>
  <sheetData>
    <row r="2" ht="27.75" customHeight="1" s="32">
      <c r="B2" s="33" t="inlineStr">
        <is>
          <t>Sculpted Term Debt Schedule</t>
        </is>
      </c>
    </row>
    <row r="4" ht="15" customHeight="1" s="32">
      <c r="B4" s="45" t="inlineStr">
        <is>
          <t>$mm / x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Beginning debt</t>
        </is>
      </c>
      <c r="C5" s="59">
        <f>Construction!M14</f>
        <v/>
      </c>
      <c r="D5" s="59">
        <f>C9</f>
        <v/>
      </c>
      <c r="E5" s="59">
        <f>D9</f>
        <v/>
      </c>
      <c r="F5" s="59">
        <f>E9</f>
        <v/>
      </c>
      <c r="G5" s="59">
        <f>F9</f>
        <v/>
      </c>
      <c r="H5" s="59">
        <f>G9</f>
        <v/>
      </c>
      <c r="I5" s="59">
        <f>H9</f>
        <v/>
      </c>
      <c r="J5" s="59">
        <f>I9</f>
        <v/>
      </c>
      <c r="K5" s="59">
        <f>J9</f>
        <v/>
      </c>
      <c r="L5" s="59">
        <f>K9</f>
        <v/>
      </c>
    </row>
    <row r="6" ht="15" customHeight="1" s="32">
      <c r="B6" s="31" t="inlineStr">
        <is>
          <t>Cash interest</t>
        </is>
      </c>
      <c r="C6" s="59">
        <f>C5*Assumptions!$E$18</f>
        <v/>
      </c>
      <c r="D6" s="59">
        <f>D5*Assumptions!$E$18</f>
        <v/>
      </c>
      <c r="E6" s="59">
        <f>E5*Assumptions!$E$18</f>
        <v/>
      </c>
      <c r="F6" s="59">
        <f>F5*Assumptions!$E$18</f>
        <v/>
      </c>
      <c r="G6" s="59">
        <f>G5*Assumptions!$E$18</f>
        <v/>
      </c>
      <c r="H6" s="59">
        <f>H5*Assumptions!$E$18</f>
        <v/>
      </c>
      <c r="I6" s="59">
        <f>I5*Assumptions!$E$18</f>
        <v/>
      </c>
      <c r="J6" s="59">
        <f>J5*Assumptions!$E$18</f>
        <v/>
      </c>
      <c r="K6" s="59">
        <f>K5*Assumptions!$E$18</f>
        <v/>
      </c>
      <c r="L6" s="59">
        <f>L5*Assumptions!$E$18</f>
        <v/>
      </c>
    </row>
    <row r="7" ht="15" customHeight="1" s="32">
      <c r="B7" s="31" t="inlineStr">
        <is>
          <t>Maximum debt service at target DSCR</t>
        </is>
      </c>
      <c r="C7" s="59">
        <f>Operations!C12/Assumptions!$E$16</f>
        <v/>
      </c>
      <c r="D7" s="59">
        <f>Operations!D12/Assumptions!$E$16</f>
        <v/>
      </c>
      <c r="E7" s="59">
        <f>Operations!E12/Assumptions!$E$16</f>
        <v/>
      </c>
      <c r="F7" s="59">
        <f>Operations!F12/Assumptions!$E$16</f>
        <v/>
      </c>
      <c r="G7" s="59">
        <f>Operations!G12/Assumptions!$E$16</f>
        <v/>
      </c>
      <c r="H7" s="59">
        <f>Operations!H12/Assumptions!$E$16</f>
        <v/>
      </c>
      <c r="I7" s="59">
        <f>Operations!I12/Assumptions!$E$16</f>
        <v/>
      </c>
      <c r="J7" s="59">
        <f>Operations!J12/Assumptions!$E$16</f>
        <v/>
      </c>
      <c r="K7" s="59">
        <f>Operations!K12/Assumptions!$E$16</f>
        <v/>
      </c>
      <c r="L7" s="59">
        <f>Operations!L12/Assumptions!$E$16</f>
        <v/>
      </c>
    </row>
    <row r="8" ht="15" customHeight="1" s="32">
      <c r="B8" s="31" t="inlineStr">
        <is>
          <t>Scheduled principal</t>
        </is>
      </c>
      <c r="C8" s="59">
        <f>MIN(C5,MAX(0,MAX(0,C7-C6)))</f>
        <v/>
      </c>
      <c r="D8" s="59">
        <f>MIN(D5,MAX(0,MAX(0,D7-D6)))</f>
        <v/>
      </c>
      <c r="E8" s="59">
        <f>MIN(E5,MAX(0,MAX(0,E7-E6)))</f>
        <v/>
      </c>
      <c r="F8" s="59">
        <f>MIN(F5,MAX(0,MAX(0,F7-F6)))</f>
        <v/>
      </c>
      <c r="G8" s="59">
        <f>MIN(G5,MAX(0,MAX(0,G7-G6)))</f>
        <v/>
      </c>
      <c r="H8" s="59">
        <f>MIN(H5,MAX(0,MAX(0,H7-H6)))</f>
        <v/>
      </c>
      <c r="I8" s="59">
        <f>MIN(I5,MAX(0,MAX(0,I7-I6)))</f>
        <v/>
      </c>
      <c r="J8" s="59">
        <f>MIN(J5,MAX(0,MAX(0,J7-J6)))</f>
        <v/>
      </c>
      <c r="K8" s="59">
        <f>MIN(K5,MAX(0,MAX(0,K7-K6)))</f>
        <v/>
      </c>
      <c r="L8" s="59">
        <f>MIN(L5,MAX(L5,MAX(0,L7-L6)))</f>
        <v/>
      </c>
    </row>
    <row r="9" ht="15" customHeight="1" s="32">
      <c r="B9" s="60" t="inlineStr">
        <is>
          <t>Ending debt</t>
        </is>
      </c>
      <c r="C9" s="61">
        <f>MAX(0,C5-C8)</f>
        <v/>
      </c>
      <c r="D9" s="61">
        <f>MAX(0,D5-D8)</f>
        <v/>
      </c>
      <c r="E9" s="61">
        <f>MAX(0,E5-E8)</f>
        <v/>
      </c>
      <c r="F9" s="61">
        <f>MAX(0,F5-F8)</f>
        <v/>
      </c>
      <c r="G9" s="61">
        <f>MAX(0,G5-G8)</f>
        <v/>
      </c>
      <c r="H9" s="61">
        <f>MAX(0,H5-H8)</f>
        <v/>
      </c>
      <c r="I9" s="61">
        <f>MAX(0,I5-I8)</f>
        <v/>
      </c>
      <c r="J9" s="61">
        <f>MAX(0,J5-J8)</f>
        <v/>
      </c>
      <c r="K9" s="61">
        <f>MAX(0,K5-K8)</f>
        <v/>
      </c>
      <c r="L9" s="61">
        <f>MAX(0,L5-L8)</f>
        <v/>
      </c>
    </row>
    <row r="10" ht="15" customHeight="1" s="32">
      <c r="B10" s="60" t="inlineStr">
        <is>
          <t>Actual debt service</t>
        </is>
      </c>
      <c r="C10" s="61">
        <f>C6+C8</f>
        <v/>
      </c>
      <c r="D10" s="61">
        <f>D6+D8</f>
        <v/>
      </c>
      <c r="E10" s="61">
        <f>E6+E8</f>
        <v/>
      </c>
      <c r="F10" s="61">
        <f>F6+F8</f>
        <v/>
      </c>
      <c r="G10" s="61">
        <f>G6+G8</f>
        <v/>
      </c>
      <c r="H10" s="61">
        <f>H6+H8</f>
        <v/>
      </c>
      <c r="I10" s="61">
        <f>I6+I8</f>
        <v/>
      </c>
      <c r="J10" s="61">
        <f>J6+J8</f>
        <v/>
      </c>
      <c r="K10" s="61">
        <f>K6+K8</f>
        <v/>
      </c>
      <c r="L10" s="61">
        <f>L6+L8</f>
        <v/>
      </c>
    </row>
    <row r="11" ht="15" customHeight="1" s="32">
      <c r="B11" s="31" t="inlineStr">
        <is>
          <t>CFADS</t>
        </is>
      </c>
      <c r="C11" s="59">
        <f>Operations!C12</f>
        <v/>
      </c>
      <c r="D11" s="59">
        <f>Operations!D12</f>
        <v/>
      </c>
      <c r="E11" s="59">
        <f>Operations!E12</f>
        <v/>
      </c>
      <c r="F11" s="59">
        <f>Operations!F12</f>
        <v/>
      </c>
      <c r="G11" s="59">
        <f>Operations!G12</f>
        <v/>
      </c>
      <c r="H11" s="59">
        <f>Operations!H12</f>
        <v/>
      </c>
      <c r="I11" s="59">
        <f>Operations!I12</f>
        <v/>
      </c>
      <c r="J11" s="59">
        <f>Operations!J12</f>
        <v/>
      </c>
      <c r="K11" s="59">
        <f>Operations!K12</f>
        <v/>
      </c>
      <c r="L11" s="59">
        <f>Operations!L12</f>
        <v/>
      </c>
    </row>
    <row r="12" ht="15" customHeight="1" s="32">
      <c r="B12" s="31" t="inlineStr">
        <is>
          <t>DSCR</t>
        </is>
      </c>
      <c r="C12" s="62">
        <f>IFERROR(C11/C10,0)</f>
        <v/>
      </c>
      <c r="D12" s="62">
        <f>IFERROR(D11/D10,0)</f>
        <v/>
      </c>
      <c r="E12" s="62">
        <f>IFERROR(E11/E10,0)</f>
        <v/>
      </c>
      <c r="F12" s="62">
        <f>IFERROR(F11/F10,0)</f>
        <v/>
      </c>
      <c r="G12" s="62">
        <f>IFERROR(G11/G10,0)</f>
        <v/>
      </c>
      <c r="H12" s="62">
        <f>IFERROR(H11/H10,0)</f>
        <v/>
      </c>
      <c r="I12" s="62">
        <f>IFERROR(I11/I10,0)</f>
        <v/>
      </c>
      <c r="J12" s="62">
        <f>IFERROR(J11/J10,0)</f>
        <v/>
      </c>
      <c r="K12" s="62">
        <f>IFERROR(K11/K10,0)</f>
        <v/>
      </c>
      <c r="L12" s="62">
        <f>IFERROR(L11/L10,0)</f>
        <v/>
      </c>
    </row>
    <row r="13" ht="15" customHeight="1" s="32">
      <c r="B13" s="31" t="inlineStr">
        <is>
          <t>Discount factor</t>
        </is>
      </c>
      <c r="C13" s="63">
        <f>1/(1+Assumptions!$E$21)^1</f>
        <v/>
      </c>
      <c r="D13" s="63">
        <f>1/(1+Assumptions!$E$21)^2</f>
        <v/>
      </c>
      <c r="E13" s="63">
        <f>1/(1+Assumptions!$E$21)^3</f>
        <v/>
      </c>
      <c r="F13" s="63">
        <f>1/(1+Assumptions!$E$21)^4</f>
        <v/>
      </c>
      <c r="G13" s="63">
        <f>1/(1+Assumptions!$E$21)^5</f>
        <v/>
      </c>
      <c r="H13" s="63">
        <f>1/(1+Assumptions!$E$21)^6</f>
        <v/>
      </c>
      <c r="I13" s="63">
        <f>1/(1+Assumptions!$E$21)^7</f>
        <v/>
      </c>
      <c r="J13" s="63">
        <f>1/(1+Assumptions!$E$21)^8</f>
        <v/>
      </c>
      <c r="K13" s="63">
        <f>1/(1+Assumptions!$E$21)^9</f>
        <v/>
      </c>
      <c r="L13" s="63">
        <f>1/(1+Assumptions!$E$21)^10</f>
        <v/>
      </c>
    </row>
    <row r="14" ht="15" customHeight="1" s="32">
      <c r="B14" s="31" t="inlineStr">
        <is>
          <t>PV of CFADS</t>
        </is>
      </c>
      <c r="C14" s="59">
        <f>C11*C13</f>
        <v/>
      </c>
      <c r="D14" s="59">
        <f>D11*D13</f>
        <v/>
      </c>
      <c r="E14" s="59">
        <f>E11*E13</f>
        <v/>
      </c>
      <c r="F14" s="59">
        <f>F11*F13</f>
        <v/>
      </c>
      <c r="G14" s="59">
        <f>G11*G13</f>
        <v/>
      </c>
      <c r="H14" s="59">
        <f>H11*H13</f>
        <v/>
      </c>
      <c r="I14" s="59">
        <f>I11*I13</f>
        <v/>
      </c>
      <c r="J14" s="59">
        <f>J11*J13</f>
        <v/>
      </c>
      <c r="K14" s="59">
        <f>K11*K13</f>
        <v/>
      </c>
      <c r="L14" s="59">
        <f>L11*L13</f>
        <v/>
      </c>
    </row>
    <row r="15" ht="15" customHeight="1" s="32">
      <c r="B15" s="31" t="inlineStr">
        <is>
          <t>LLCR from each year</t>
        </is>
      </c>
      <c r="C15" s="62">
        <f>IFERROR(SUM(C14:$L$14)/C5,0)</f>
        <v/>
      </c>
      <c r="D15" s="62">
        <f>IFERROR(SUM(D14:$L$14)/D5,0)</f>
        <v/>
      </c>
      <c r="E15" s="62">
        <f>IFERROR(SUM(E14:$L$14)/E5,0)</f>
        <v/>
      </c>
      <c r="F15" s="62">
        <f>IFERROR(SUM(F14:$L$14)/F5,0)</f>
        <v/>
      </c>
      <c r="G15" s="62">
        <f>IFERROR(SUM(G14:$L$14)/G5,0)</f>
        <v/>
      </c>
      <c r="H15" s="62">
        <f>IFERROR(SUM(H14:$L$14)/H5,0)</f>
        <v/>
      </c>
      <c r="I15" s="62">
        <f>IFERROR(SUM(I14:$L$14)/I5,0)</f>
        <v/>
      </c>
      <c r="J15" s="62">
        <f>IFERROR(SUM(J14:$L$14)/J5,0)</f>
        <v/>
      </c>
      <c r="K15" s="62">
        <f>IFERROR(SUM(K14:$L$14)/K5,0)</f>
        <v/>
      </c>
      <c r="L15" s="62">
        <f>IFERROR(SUM(L14:$L$14)/L5,0)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L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3" customWidth="1" style="31" min="3" max="12"/>
  </cols>
  <sheetData>
    <row r="2" ht="27.75" customHeight="1" s="32">
      <c r="B2" s="33" t="inlineStr">
        <is>
          <t>Debt Service Reserve Account</t>
        </is>
      </c>
    </row>
    <row r="4" ht="15" customHeight="1" s="32">
      <c r="B4" s="45" t="inlineStr">
        <is>
          <t>$mm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Forward debt service</t>
        </is>
      </c>
      <c r="C5" s="59">
        <f>'Debt Sculpting'!D10</f>
        <v/>
      </c>
      <c r="D5" s="59">
        <f>'Debt Sculpting'!E10</f>
        <v/>
      </c>
      <c r="E5" s="59">
        <f>'Debt Sculpting'!F10</f>
        <v/>
      </c>
      <c r="F5" s="59">
        <f>'Debt Sculpting'!G10</f>
        <v/>
      </c>
      <c r="G5" s="59">
        <f>'Debt Sculpting'!H10</f>
        <v/>
      </c>
      <c r="H5" s="59">
        <f>'Debt Sculpting'!I10</f>
        <v/>
      </c>
      <c r="I5" s="59">
        <f>'Debt Sculpting'!J10</f>
        <v/>
      </c>
      <c r="J5" s="59">
        <f>'Debt Sculpting'!K10</f>
        <v/>
      </c>
      <c r="K5" s="59">
        <f>'Debt Sculpting'!L10</f>
        <v/>
      </c>
      <c r="L5" s="59">
        <f>'Debt Sculpting'!L10</f>
        <v/>
      </c>
    </row>
    <row r="6" ht="15" customHeight="1" s="32">
      <c r="B6" s="31" t="inlineStr">
        <is>
          <t>Required DSRA</t>
        </is>
      </c>
      <c r="C6" s="59">
        <f>C5*Assumptions!$E$20/12</f>
        <v/>
      </c>
      <c r="D6" s="59">
        <f>D5*Assumptions!$E$20/12</f>
        <v/>
      </c>
      <c r="E6" s="59">
        <f>E5*Assumptions!$E$20/12</f>
        <v/>
      </c>
      <c r="F6" s="59">
        <f>F5*Assumptions!$E$20/12</f>
        <v/>
      </c>
      <c r="G6" s="59">
        <f>G5*Assumptions!$E$20/12</f>
        <v/>
      </c>
      <c r="H6" s="59">
        <f>H5*Assumptions!$E$20/12</f>
        <v/>
      </c>
      <c r="I6" s="59">
        <f>I5*Assumptions!$E$20/12</f>
        <v/>
      </c>
      <c r="J6" s="59">
        <f>J5*Assumptions!$E$20/12</f>
        <v/>
      </c>
      <c r="K6" s="59">
        <f>K5*Assumptions!$E$20/12</f>
        <v/>
      </c>
      <c r="L6" s="59">
        <f>L5*Assumptions!$E$20/12</f>
        <v/>
      </c>
    </row>
    <row r="7" ht="15" customHeight="1" s="32">
      <c r="B7" s="31" t="inlineStr">
        <is>
          <t>Beginning DSRA</t>
        </is>
      </c>
      <c r="C7" s="59">
        <f>C6</f>
        <v/>
      </c>
      <c r="D7" s="59">
        <f>C9</f>
        <v/>
      </c>
      <c r="E7" s="59">
        <f>D9</f>
        <v/>
      </c>
      <c r="F7" s="59">
        <f>E9</f>
        <v/>
      </c>
      <c r="G7" s="59">
        <f>F9</f>
        <v/>
      </c>
      <c r="H7" s="59">
        <f>G9</f>
        <v/>
      </c>
      <c r="I7" s="59">
        <f>H9</f>
        <v/>
      </c>
      <c r="J7" s="59">
        <f>I9</f>
        <v/>
      </c>
      <c r="K7" s="59">
        <f>J9</f>
        <v/>
      </c>
      <c r="L7" s="59">
        <f>K9</f>
        <v/>
      </c>
    </row>
    <row r="8" ht="15" customHeight="1" s="32">
      <c r="B8" s="31" t="inlineStr">
        <is>
          <t>Funding / (release)</t>
        </is>
      </c>
      <c r="C8" s="59">
        <f>C6-C7</f>
        <v/>
      </c>
      <c r="D8" s="59">
        <f>D6-D7</f>
        <v/>
      </c>
      <c r="E8" s="59">
        <f>E6-E7</f>
        <v/>
      </c>
      <c r="F8" s="59">
        <f>F6-F7</f>
        <v/>
      </c>
      <c r="G8" s="59">
        <f>G6-G7</f>
        <v/>
      </c>
      <c r="H8" s="59">
        <f>H6-H7</f>
        <v/>
      </c>
      <c r="I8" s="59">
        <f>I6-I7</f>
        <v/>
      </c>
      <c r="J8" s="59">
        <f>J6-J7</f>
        <v/>
      </c>
      <c r="K8" s="59">
        <f>K6-K7</f>
        <v/>
      </c>
      <c r="L8" s="59">
        <f>L6-L7</f>
        <v/>
      </c>
    </row>
    <row r="9" ht="15" customHeight="1" s="32">
      <c r="B9" s="31" t="inlineStr">
        <is>
          <t>Ending DSRA</t>
        </is>
      </c>
      <c r="C9" s="59">
        <f>C7+C8</f>
        <v/>
      </c>
      <c r="D9" s="59">
        <f>D7+D8</f>
        <v/>
      </c>
      <c r="E9" s="59">
        <f>E7+E8</f>
        <v/>
      </c>
      <c r="F9" s="59">
        <f>F7+F8</f>
        <v/>
      </c>
      <c r="G9" s="59">
        <f>G7+G8</f>
        <v/>
      </c>
      <c r="H9" s="59">
        <f>H7+H8</f>
        <v/>
      </c>
      <c r="I9" s="59">
        <f>I7+I8</f>
        <v/>
      </c>
      <c r="J9" s="59">
        <f>J7+J8</f>
        <v/>
      </c>
      <c r="K9" s="59">
        <f>K7+K8</f>
        <v/>
      </c>
      <c r="L9" s="59">
        <f>L7+L8</f>
        <v/>
      </c>
    </row>
    <row r="10" ht="15" customHeight="1" s="32">
      <c r="B10" s="31" t="inlineStr">
        <is>
          <t>DSRA funding at close</t>
        </is>
      </c>
      <c r="C10" s="59">
        <f>IF(COLUMN()=3,C7,0)</f>
        <v/>
      </c>
      <c r="D10" s="59">
        <f>IF(COLUMN()=3,D7,0)</f>
        <v/>
      </c>
      <c r="E10" s="59">
        <f>IF(COLUMN()=3,E7,0)</f>
        <v/>
      </c>
      <c r="F10" s="59">
        <f>IF(COLUMN()=3,F7,0)</f>
        <v/>
      </c>
      <c r="G10" s="59">
        <f>IF(COLUMN()=3,G7,0)</f>
        <v/>
      </c>
      <c r="H10" s="59">
        <f>IF(COLUMN()=3,H7,0)</f>
        <v/>
      </c>
      <c r="I10" s="59">
        <f>IF(COLUMN()=3,I7,0)</f>
        <v/>
      </c>
      <c r="J10" s="59">
        <f>IF(COLUMN()=3,J7,0)</f>
        <v/>
      </c>
      <c r="K10" s="59">
        <f>IF(COLUMN()=3,K7,0)</f>
        <v/>
      </c>
      <c r="L10" s="59">
        <f>IF(COLUMN()=3,L7,0)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3" customWidth="1" style="31" min="3" max="12"/>
  </cols>
  <sheetData>
    <row r="2" ht="27.75" customHeight="1" s="32">
      <c r="B2" s="33" t="inlineStr">
        <is>
          <t>Coverage, Liquidity, and Tail Risk</t>
        </is>
      </c>
    </row>
    <row r="4" ht="15" customHeight="1" s="32">
      <c r="B4" s="45" t="inlineStr">
        <is>
          <t>Metric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DSCR</t>
        </is>
      </c>
      <c r="C5" s="62">
        <f>'Debt Sculpting'!C12</f>
        <v/>
      </c>
      <c r="D5" s="62">
        <f>'Debt Sculpting'!D12</f>
        <v/>
      </c>
      <c r="E5" s="62">
        <f>'Debt Sculpting'!E12</f>
        <v/>
      </c>
      <c r="F5" s="62">
        <f>'Debt Sculpting'!F12</f>
        <v/>
      </c>
      <c r="G5" s="62">
        <f>'Debt Sculpting'!G12</f>
        <v/>
      </c>
      <c r="H5" s="62">
        <f>'Debt Sculpting'!H12</f>
        <v/>
      </c>
      <c r="I5" s="62">
        <f>'Debt Sculpting'!I12</f>
        <v/>
      </c>
      <c r="J5" s="62">
        <f>'Debt Sculpting'!J12</f>
        <v/>
      </c>
      <c r="K5" s="62">
        <f>'Debt Sculpting'!K12</f>
        <v/>
      </c>
      <c r="L5" s="62">
        <f>'Debt Sculpting'!L12</f>
        <v/>
      </c>
    </row>
    <row r="6" ht="15" customHeight="1" s="32">
      <c r="B6" s="31" t="inlineStr">
        <is>
          <t>Minimum DSCR</t>
        </is>
      </c>
      <c r="C6" s="62">
        <f>Assumptions!$E$17</f>
        <v/>
      </c>
      <c r="D6" s="62">
        <f>Assumptions!$E$17</f>
        <v/>
      </c>
      <c r="E6" s="62">
        <f>Assumptions!$E$17</f>
        <v/>
      </c>
      <c r="F6" s="62">
        <f>Assumptions!$E$17</f>
        <v/>
      </c>
      <c r="G6" s="62">
        <f>Assumptions!$E$17</f>
        <v/>
      </c>
      <c r="H6" s="62">
        <f>Assumptions!$E$17</f>
        <v/>
      </c>
      <c r="I6" s="62">
        <f>Assumptions!$E$17</f>
        <v/>
      </c>
      <c r="J6" s="62">
        <f>Assumptions!$E$17</f>
        <v/>
      </c>
      <c r="K6" s="62">
        <f>Assumptions!$E$17</f>
        <v/>
      </c>
      <c r="L6" s="62">
        <f>Assumptions!$E$17</f>
        <v/>
      </c>
    </row>
    <row r="7" ht="15" customHeight="1" s="32">
      <c r="B7" s="31" t="inlineStr">
        <is>
          <t>DSCR headroom</t>
        </is>
      </c>
      <c r="C7" s="62">
        <f>C5-C6</f>
        <v/>
      </c>
      <c r="D7" s="62">
        <f>D5-D6</f>
        <v/>
      </c>
      <c r="E7" s="62">
        <f>E5-E6</f>
        <v/>
      </c>
      <c r="F7" s="62">
        <f>F5-F6</f>
        <v/>
      </c>
      <c r="G7" s="62">
        <f>G5-G6</f>
        <v/>
      </c>
      <c r="H7" s="62">
        <f>H5-H6</f>
        <v/>
      </c>
      <c r="I7" s="62">
        <f>I5-I6</f>
        <v/>
      </c>
      <c r="J7" s="62">
        <f>J5-J6</f>
        <v/>
      </c>
      <c r="K7" s="62">
        <f>K5-K6</f>
        <v/>
      </c>
      <c r="L7" s="62">
        <f>L5-L6</f>
        <v/>
      </c>
    </row>
    <row r="8" ht="15" customHeight="1" s="32">
      <c r="B8" s="31" t="inlineStr">
        <is>
          <t>LLCR</t>
        </is>
      </c>
      <c r="C8" s="62">
        <f>'Debt Sculpting'!C15</f>
        <v/>
      </c>
      <c r="D8" s="62">
        <f>'Debt Sculpting'!D15</f>
        <v/>
      </c>
      <c r="E8" s="62">
        <f>'Debt Sculpting'!E15</f>
        <v/>
      </c>
      <c r="F8" s="62">
        <f>'Debt Sculpting'!F15</f>
        <v/>
      </c>
      <c r="G8" s="62">
        <f>'Debt Sculpting'!G15</f>
        <v/>
      </c>
      <c r="H8" s="62">
        <f>'Debt Sculpting'!H15</f>
        <v/>
      </c>
      <c r="I8" s="62">
        <f>'Debt Sculpting'!I15</f>
        <v/>
      </c>
      <c r="J8" s="62">
        <f>'Debt Sculpting'!J15</f>
        <v/>
      </c>
      <c r="K8" s="62">
        <f>'Debt Sculpting'!K15</f>
        <v/>
      </c>
      <c r="L8" s="62">
        <f>'Debt Sculpting'!L15</f>
        <v/>
      </c>
    </row>
    <row r="9" ht="15" customHeight="1" s="32">
      <c r="B9" s="31" t="inlineStr">
        <is>
          <t>PLCR</t>
        </is>
      </c>
      <c r="C9" s="62">
        <f>IFERROR(SUM('Debt Sculpting'!C14:$L$14)/'Debt Sculpting'!C5,0)</f>
        <v/>
      </c>
      <c r="D9" s="62">
        <f>IFERROR(SUM('Debt Sculpting'!D14:$L$14)/'Debt Sculpting'!D5,0)</f>
        <v/>
      </c>
      <c r="E9" s="62">
        <f>IFERROR(SUM('Debt Sculpting'!E14:$L$14)/'Debt Sculpting'!E5,0)</f>
        <v/>
      </c>
      <c r="F9" s="62">
        <f>IFERROR(SUM('Debt Sculpting'!F14:$L$14)/'Debt Sculpting'!F5,0)</f>
        <v/>
      </c>
      <c r="G9" s="62">
        <f>IFERROR(SUM('Debt Sculpting'!G14:$L$14)/'Debt Sculpting'!G5,0)</f>
        <v/>
      </c>
      <c r="H9" s="62">
        <f>IFERROR(SUM('Debt Sculpting'!H14:$L$14)/'Debt Sculpting'!H5,0)</f>
        <v/>
      </c>
      <c r="I9" s="62">
        <f>IFERROR(SUM('Debt Sculpting'!I14:$L$14)/'Debt Sculpting'!I5,0)</f>
        <v/>
      </c>
      <c r="J9" s="62">
        <f>IFERROR(SUM('Debt Sculpting'!J14:$L$14)/'Debt Sculpting'!J5,0)</f>
        <v/>
      </c>
      <c r="K9" s="62">
        <f>IFERROR(SUM('Debt Sculpting'!K14:$L$14)/'Debt Sculpting'!K5,0)</f>
        <v/>
      </c>
      <c r="L9" s="62">
        <f>IFERROR(SUM('Debt Sculpting'!L14:$L$14)/'Debt Sculpting'!L5,0)</f>
        <v/>
      </c>
    </row>
    <row r="10" ht="15" customHeight="1" s="32">
      <c r="B10" s="31" t="inlineStr">
        <is>
          <t>Debt / EBITDA</t>
        </is>
      </c>
      <c r="C10" s="62">
        <f>IFERROR('Debt Sculpting'!C9/Operations!C8,0)</f>
        <v/>
      </c>
      <c r="D10" s="62">
        <f>IFERROR('Debt Sculpting'!D9/Operations!D8,0)</f>
        <v/>
      </c>
      <c r="E10" s="62">
        <f>IFERROR('Debt Sculpting'!E9/Operations!E8,0)</f>
        <v/>
      </c>
      <c r="F10" s="62">
        <f>IFERROR('Debt Sculpting'!F9/Operations!F8,0)</f>
        <v/>
      </c>
      <c r="G10" s="62">
        <f>IFERROR('Debt Sculpting'!G9/Operations!G8,0)</f>
        <v/>
      </c>
      <c r="H10" s="62">
        <f>IFERROR('Debt Sculpting'!H9/Operations!H8,0)</f>
        <v/>
      </c>
      <c r="I10" s="62">
        <f>IFERROR('Debt Sculpting'!I9/Operations!I8,0)</f>
        <v/>
      </c>
      <c r="J10" s="62">
        <f>IFERROR('Debt Sculpting'!J9/Operations!J8,0)</f>
        <v/>
      </c>
      <c r="K10" s="62">
        <f>IFERROR('Debt Sculpting'!K9/Operations!K8,0)</f>
        <v/>
      </c>
      <c r="L10" s="62">
        <f>IFERROR('Debt Sculpting'!L9/Operations!L8,0)</f>
        <v/>
      </c>
    </row>
    <row r="11" ht="15" customHeight="1" s="32">
      <c r="B11" s="31" t="inlineStr">
        <is>
          <t>DSRA coverage</t>
        </is>
      </c>
      <c r="C11" s="62">
        <f>IFERROR(DSRA!C9/DSRA!C6,0)</f>
        <v/>
      </c>
      <c r="D11" s="62">
        <f>IFERROR(DSRA!D9/DSRA!D6,0)</f>
        <v/>
      </c>
      <c r="E11" s="62">
        <f>IFERROR(DSRA!E9/DSRA!E6,0)</f>
        <v/>
      </c>
      <c r="F11" s="62">
        <f>IFERROR(DSRA!F9/DSRA!F6,0)</f>
        <v/>
      </c>
      <c r="G11" s="62">
        <f>IFERROR(DSRA!G9/DSRA!G6,0)</f>
        <v/>
      </c>
      <c r="H11" s="62">
        <f>IFERROR(DSRA!H9/DSRA!H6,0)</f>
        <v/>
      </c>
      <c r="I11" s="62">
        <f>IFERROR(DSRA!I9/DSRA!I6,0)</f>
        <v/>
      </c>
      <c r="J11" s="62">
        <f>IFERROR(DSRA!J9/DSRA!J6,0)</f>
        <v/>
      </c>
      <c r="K11" s="62">
        <f>IFERROR(DSRA!K9/DSRA!K6,0)</f>
        <v/>
      </c>
      <c r="L11" s="62">
        <f>IFERROR(DSRA!L9/DSRA!L6,0)</f>
        <v/>
      </c>
    </row>
    <row r="12" ht="15" customHeight="1" s="32">
      <c r="B12" s="31" t="inlineStr">
        <is>
          <t>Covenant status</t>
        </is>
      </c>
      <c r="C12" s="31">
        <f>IF(AND(C7&gt;=0,C8&gt;=1,C11&gt;=1),"PASS","BREACH")</f>
        <v/>
      </c>
      <c r="D12" s="31">
        <f>IF(AND(D7&gt;=0,D8&gt;=1,D11&gt;=1),"PASS","BREACH")</f>
        <v/>
      </c>
      <c r="E12" s="31">
        <f>IF(AND(E7&gt;=0,E8&gt;=1,E11&gt;=1),"PASS","BREACH")</f>
        <v/>
      </c>
      <c r="F12" s="31">
        <f>IF(AND(F7&gt;=0,F8&gt;=1,F11&gt;=1),"PASS","BREACH")</f>
        <v/>
      </c>
      <c r="G12" s="31">
        <f>IF(AND(G7&gt;=0,G8&gt;=1,G11&gt;=1),"PASS","BREACH")</f>
        <v/>
      </c>
      <c r="H12" s="31">
        <f>IF(AND(H7&gt;=0,H8&gt;=1,H11&gt;=1),"PASS","BREACH")</f>
        <v/>
      </c>
      <c r="I12" s="31">
        <f>IF(AND(I7&gt;=0,I8&gt;=1,I11&gt;=1),"PASS","BREACH")</f>
        <v/>
      </c>
      <c r="J12" s="31">
        <f>IF(AND(J7&gt;=0,J8&gt;=1,J11&gt;=1),"PASS","BREACH")</f>
        <v/>
      </c>
      <c r="K12" s="31">
        <f>IF(AND(K7&gt;=0,K8&gt;=1,K11&gt;=1),"PASS","BREACH")</f>
        <v/>
      </c>
      <c r="L12" s="31">
        <f>IF(AND(L7&gt;=0,L8&gt;=1,L11&gt;=1),"PASS","BREACH")</f>
        <v/>
      </c>
    </row>
  </sheetData>
  <mergeCells count="1">
    <mergeCell ref="B2:L2"/>
  </mergeCells>
  <conditionalFormatting sqref="C12:L12">
    <cfRule type="expression" rank="0" priority="2" equalAverage="0" aboveAverage="0" dxfId="0" text="" percent="0" bottom="0">
      <formula>C12="PASS"</formula>
    </cfRule>
    <cfRule type="expression" rank="0" priority="3" equalAverage="0" aboveAverage="0" dxfId="1" text="" percent="0" bottom="0">
      <formula>C12="FAIL"</formula>
    </cfRule>
    <cfRule type="expression" rank="0" priority="4" equalAverage="0" aboveAverage="0" dxfId="2" text="" percent="0" bottom="0">
      <formula>C12="REVIEW"</formula>
    </cfRule>
    <cfRule type="expression" rank="0" priority="5" equalAverage="0" aboveAverage="0" dxfId="1" text="" percent="0" bottom="0">
      <formula>C12="BREACH"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3" customWidth="1" style="31" min="3" max="7"/>
  </cols>
  <sheetData>
    <row r="2" ht="27.75" customHeight="1" s="32">
      <c r="B2" s="33" t="inlineStr">
        <is>
          <t>Minimum DSCR Sensitivity</t>
        </is>
      </c>
    </row>
    <row r="4" ht="15" customHeight="1" s="32">
      <c r="B4" s="45" t="inlineStr">
        <is>
          <t>Revenue haircut / Operating cost</t>
        </is>
      </c>
      <c r="C4" s="64" t="n">
        <v>0.22</v>
      </c>
      <c r="D4" s="64" t="n">
        <v>0.28</v>
      </c>
      <c r="E4" s="64" t="n">
        <v>0.34</v>
      </c>
      <c r="F4" s="64" t="n">
        <v>0.4</v>
      </c>
      <c r="G4" s="64" t="n">
        <v>0.46</v>
      </c>
    </row>
    <row r="5" ht="15" customHeight="1" s="32">
      <c r="B5" s="58" t="n">
        <v>0</v>
      </c>
      <c r="C5" s="62">
        <f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/>
      </c>
      <c r="D5" s="62">
        <f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/>
      </c>
      <c r="E5" s="62">
        <f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/>
      </c>
      <c r="F5" s="62">
        <f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/>
      </c>
      <c r="G5" s="62">
        <f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/>
      </c>
    </row>
    <row r="6" ht="15" customHeight="1" s="32">
      <c r="B6" s="58" t="n">
        <v>0.05</v>
      </c>
      <c r="C6" s="62">
        <f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/>
      </c>
      <c r="D6" s="62">
        <f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/>
      </c>
      <c r="E6" s="62">
        <f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/>
      </c>
      <c r="F6" s="62">
        <f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/>
      </c>
      <c r="G6" s="62">
        <f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/>
      </c>
    </row>
    <row r="7" ht="15" customHeight="1" s="32">
      <c r="B7" s="58" t="n">
        <v>0.1</v>
      </c>
      <c r="C7" s="62">
        <f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/>
      </c>
      <c r="D7" s="62">
        <f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/>
      </c>
      <c r="E7" s="62">
        <f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/>
      </c>
      <c r="F7" s="62">
        <f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/>
      </c>
      <c r="G7" s="62">
        <f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/>
      </c>
    </row>
    <row r="8" ht="15" customHeight="1" s="32">
      <c r="B8" s="58" t="n">
        <v>0.15</v>
      </c>
      <c r="C8" s="62">
        <f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/>
      </c>
      <c r="D8" s="62">
        <f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/>
      </c>
      <c r="E8" s="62">
        <f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/>
      </c>
      <c r="F8" s="62">
        <f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/>
      </c>
      <c r="G8" s="62">
        <f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/>
      </c>
    </row>
    <row r="9" ht="15" customHeight="1" s="32">
      <c r="B9" s="58" t="n">
        <v>0.2</v>
      </c>
      <c r="C9" s="62">
        <f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/>
      </c>
      <c r="D9" s="62">
        <f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/>
      </c>
      <c r="E9" s="62">
        <f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/>
      </c>
      <c r="F9" s="62">
        <f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/>
      </c>
      <c r="G9" s="62">
        <f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8" customWidth="1" style="31" min="3" max="3"/>
  </cols>
  <sheetData>
    <row r="2" ht="27.75" customHeight="1" s="32">
      <c r="B2" s="33" t="inlineStr">
        <is>
          <t>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Construction spend curve totals 100%</t>
        </is>
      </c>
      <c r="C5" s="31">
        <f>IF(ABS(Construction!M5-1)&lt;0.000001,"PASS","FAIL")</f>
        <v/>
      </c>
    </row>
    <row r="6" ht="15" customHeight="1" s="32">
      <c r="B6" s="31" t="inlineStr">
        <is>
          <t>Sources equal uses</t>
        </is>
      </c>
      <c r="C6" s="31">
        <f>IF(ABS('Sources &amp; Uses'!F9)&lt;0.000001,"PASS","FAIL")</f>
        <v/>
      </c>
    </row>
    <row r="7" ht="15" customHeight="1" s="32">
      <c r="B7" s="31" t="inlineStr">
        <is>
          <t>Debt never negative</t>
        </is>
      </c>
      <c r="C7" s="31">
        <f>IF(MIN('Debt Sculpting'!C9:L9)&gt;=0,"PASS","FAIL")</f>
        <v/>
      </c>
    </row>
    <row r="8" ht="15" customHeight="1" s="32">
      <c r="B8" s="31" t="inlineStr">
        <is>
          <t>No DSCR covenant breach</t>
        </is>
      </c>
      <c r="C8" s="31">
        <f>IF(MIN(Coverage!C7:L7)&gt;=0,"PASS","REVIEW")</f>
        <v/>
      </c>
    </row>
    <row r="9" ht="15" customHeight="1" s="32">
      <c r="B9" s="31" t="inlineStr">
        <is>
          <t>DSRA fully funded</t>
        </is>
      </c>
      <c r="C9" s="31">
        <f>IF(MIN(Coverage!C11:L11)&gt;=1,"PASS","REVIEW")</f>
        <v/>
      </c>
    </row>
    <row r="10" ht="15" customHeight="1" s="32">
      <c r="B10" s="31" t="inlineStr">
        <is>
          <t>LLCR positive</t>
        </is>
      </c>
      <c r="C10" s="31">
        <f>IF(MIN(Coverage!C8:L8)&gt;0,"PASS","FAIL")</f>
        <v/>
      </c>
    </row>
    <row r="11" ht="15" customHeight="1" s="32">
      <c r="B11" s="31" t="inlineStr">
        <is>
          <t>Debt repaid or balloon disclosed</t>
        </is>
      </c>
      <c r="C11" s="31">
        <f>IF('Debt Sculpting'!L9&lt;0.000001,"PASS","REVIEW")</f>
        <v/>
      </c>
    </row>
    <row r="12" ht="15" customHeight="1" s="32">
      <c r="B12" s="31" t="inlineStr">
        <is>
          <t>Overall model status</t>
        </is>
      </c>
      <c r="C12" s="31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EPC and construction budget</t>
        </is>
      </c>
      <c r="C5" s="65" t="inlineStr">
        <is>
          <t>[data room / contract URL]</t>
        </is>
      </c>
      <c r="D5" s="65" t="inlineStr">
        <is>
          <t>[date]</t>
        </is>
      </c>
      <c r="E5" s="65" t="inlineStr">
        <is>
          <t>Cost, timing, contingency, liquidated damages</t>
        </is>
      </c>
    </row>
    <row r="6" ht="15" customHeight="1" s="32">
      <c r="B6" s="65" t="inlineStr">
        <is>
          <t>Concession / offtake agreement</t>
        </is>
      </c>
      <c r="C6" s="65" t="inlineStr">
        <is>
          <t>[public filing / contract URL]</t>
        </is>
      </c>
      <c r="D6" s="65" t="inlineStr">
        <is>
          <t>[date]</t>
        </is>
      </c>
      <c r="E6" s="65" t="inlineStr">
        <is>
          <t>Tariff, availability, escalation, termination</t>
        </is>
      </c>
    </row>
    <row r="7" ht="15" customHeight="1" s="32">
      <c r="B7" s="65" t="inlineStr">
        <is>
          <t>Debt term sheet and common terms</t>
        </is>
      </c>
      <c r="C7" s="65" t="inlineStr">
        <is>
          <t>[data room URL]</t>
        </is>
      </c>
      <c r="D7" s="65" t="inlineStr">
        <is>
          <t>[date]</t>
        </is>
      </c>
      <c r="E7" s="65" t="inlineStr">
        <is>
          <t>Rates, tenor, sculpting, covenants, reserves</t>
        </is>
      </c>
    </row>
    <row r="8" ht="15" customHeight="1" s="32">
      <c r="B8" s="65" t="inlineStr">
        <is>
          <t>Independent engineer report</t>
        </is>
      </c>
      <c r="C8" s="65" t="inlineStr">
        <is>
          <t>[advisor URL]</t>
        </is>
      </c>
      <c r="D8" s="65" t="inlineStr">
        <is>
          <t>[date]</t>
        </is>
      </c>
      <c r="E8" s="65" t="inlineStr">
        <is>
          <t>Construction and operating assumptions</t>
        </is>
      </c>
    </row>
    <row r="9" ht="15" customHeight="1" s="32">
      <c r="B9" s="65" t="inlineStr">
        <is>
          <t>Market / resource study</t>
        </is>
      </c>
      <c r="C9" s="65" t="inlineStr">
        <is>
          <t>[consultant or public source]</t>
        </is>
      </c>
      <c r="D9" s="65" t="inlineStr">
        <is>
          <t>[date]</t>
        </is>
      </c>
      <c r="E9" s="65" t="inlineStr">
        <is>
          <t>Demand, irradiation, wind, traffic, throughput</t>
        </is>
      </c>
    </row>
    <row r="10" ht="15" customHeight="1" s="32">
      <c r="B10" s="65" t="inlineStr">
        <is>
          <t>Discount and benchmark rates</t>
        </is>
      </c>
      <c r="C10" s="65" t="inlineStr">
        <is>
          <t>https://home.treasury.gov/resource-center/data-chart-center/interest-rates</t>
        </is>
      </c>
      <c r="D10" s="65" t="inlineStr">
        <is>
          <t>[date]</t>
        </is>
      </c>
      <c r="E10" s="65" t="inlineStr">
        <is>
          <t>Document currency and tenor mapping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n"/>
      <c r="C5" s="66" t="n"/>
      <c r="D5" s="66" t="n"/>
      <c r="E5" s="66" t="n"/>
      <c r="F5" s="66" t="n"/>
      <c r="G5" s="66" t="n"/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2026-08-04T03:47:43Z</dcterms:created>
  <dcterms:modified xsi:type="dcterms:W3CDTF">2026-08-04T03:48:34Z</dcterms:modified>
  <cp:revision>0</cp:revision>
</cp:coreProperties>
</file>