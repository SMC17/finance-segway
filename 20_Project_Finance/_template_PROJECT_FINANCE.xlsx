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nstruction" sheetId="3" state="visible" r:id="rId5"/>
    <sheet name="Sources &amp; Uses" sheetId="4" state="visible" r:id="rId6"/>
    <sheet name="Operations" sheetId="5" state="visible" r:id="rId7"/>
    <sheet name="Debt Sculpting" sheetId="6" state="visible" r:id="rId8"/>
    <sheet name="DSRA" sheetId="7" state="visible" r:id="rId9"/>
    <sheet name="Coverage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<sst xmlns="http://schemas.openxmlformats.org/spreadsheetml/2006/main" count="240" uniqueCount="179">
  <si>
    <t xml:space="preserve">[PROJECT] — Project Finance Model</t>
  </si>
  <si>
    <t xml:space="preserve">Project / concession:</t>
  </si>
  <si>
    <t xml:space="preserve">[Name]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</si>
  <si>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</si>
  <si>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</si>
  <si>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</si>
  <si>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</si>
  <si>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</si>
  <si>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[date]</t>
  </si>
  <si>
    <t xml:space="preserve">Refresh cadence:</t>
  </si>
  <si>
    <t xml:space="preserve">Weekly construction; monthly operations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</si>
  <si>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</si>
  <si>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</si>
  <si>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</si>
  <si>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</si>
  <si>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</si>
  <si>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</si>
  <si>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</si>
  <si>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</si>
  <si>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</si>
  <si>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</si>
  <si>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</si>
  <si>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</si>
  <si>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</si>
  <si>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</si>
  <si>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</si>
  <si>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</si>
  <si>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</si>
  <si>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</si>
  <si>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</si>
  <si>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</si>
  <si>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</si>
  <si>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</si>
  <si>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</si>
  <si>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</si>
  <si>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</si>
  <si>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</si>
  <si>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</si>
  <si>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</si>
  <si>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</si>
  <si>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</si>
  <si>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</si>
  <si>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</si>
  <si>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</si>
  <si>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</si>
  <si>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</si>
  <si>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</si>
  <si>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</si>
  <si>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</si>
  <si>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</si>
  <si>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</si>
  <si>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</si>
  <si>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</si>
  <si>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</si>
  <si>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</si>
  <si>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</si>
  <si>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</si>
  <si>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</si>
  <si>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</si>
  <si>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</si>
  <si>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</si>
  <si>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</si>
  <si>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</si>
  <si>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</si>
  <si>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</si>
  <si>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</si>
  <si>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</si>
  <si>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</si>
  <si>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</si>
  <si>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</si>
  <si>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</si>
  <si>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</si>
  <si>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</si>
  <si>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</si>
  <si>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</si>
  <si>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</si>
  <si>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</si>
  <si>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</si>
  <si>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</si>
  <si>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</si>
  <si>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</si>
  <si>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</si>
  <si>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</si>
  <si>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</si>
  <si>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</si>
  <si>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</si>
  <si>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</si>
  <si>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</si>
  <si>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</si>
  <si>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</si>
  <si>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</si>
  <si>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</si>
  <si>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</si>
  <si>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</si>
  <si>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</si>
  <si>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</si>
  <si>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</si>
  <si>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</si>
  <si>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</si>
  <si>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</si>
  <si>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</si>
  <si>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</si>
  <si>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</si>
  <si>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</si>
  <si>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</si>
  <si>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</si>
  <si>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</si>
  <si>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</si>
  <si>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</si>
  <si>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</si>
  <si>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</si>
  <si>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</si>
  <si>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</si>
  <si>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</si>
  <si>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</si>
  <si>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</si>
  <si>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</si>
  <si>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</si>
  <si>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</si>
  <si>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</si>
  <si>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</si>
  <si>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</si>
  <si>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</si>
  <si>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</si>
  <si>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</si>
  <si>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</si>
  <si>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</si>
  <si>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</si>
  <si>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</si>
  <si>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</si>
  <si>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</si>
  <si>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</si>
  <si>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</si>
  <si>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</si>
  <si>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</si>
  <si>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</si>
  <si>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</si>
  <si>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</si>
  <si>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</si>
  <si>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</si>
  <si>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Status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</si>
  <si>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</si>
  <si>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</si>
  <si>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</si>
  <si>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</si>
  <si>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</si>
  <si>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</si>
  <si>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</si>
  <si>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</si>
  <si>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</si>
  <si>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</si>
  <si>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</si>
  <si>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</si>
  <si>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</si>
  <si>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EPC and construction budget</t>
  </si>
  <si>
    <t xml:space="preserve">[data room / contract URL]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</si>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</sst>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3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4" t="s">
        <v>15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2" t="s">
        <v>18</v>
      </c>
      <c r="C15" s="6" t="s">
        <v>19</v>
      </c>
    </row>
    <row r="16" customFormat="false" ht="15" hidden="false" customHeight="false" outlineLevel="0" collapsed="false">
      <c r="B16" s="7" t="s">
        <v>20</v>
      </c>
      <c r="C16" s="6" t="s">
        <v>21</v>
      </c>
    </row>
    <row r="17" customFormat="false" ht="15" hidden="false" customHeight="false" outlineLevel="0" collapsed="false">
      <c r="B17" s="2" t="s">
        <v>22</v>
      </c>
      <c r="C17" s="6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24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25</v>
      </c>
      <c r="C4" s="8" t="s">
        <v>12</v>
      </c>
      <c r="D4" s="8" t="s">
        <v>26</v>
      </c>
      <c r="E4" s="8" t="s">
        <v>27</v>
      </c>
      <c r="F4" s="8" t="s">
        <v>28</v>
      </c>
    </row>
    <row r="5" customFormat="false" ht="15" hidden="false" customHeight="false" outlineLevel="0" collapsed="false">
      <c r="B5" s="0" t="s">
        <v>29</v>
      </c>
      <c r="C5" s="9" t="n">
        <v>800</v>
      </c>
      <c r="D5" s="9" t="n">
        <v>880</v>
      </c>
      <c r="E5" s="10" t="n">
        <f aca="false">IF(Cover!$C$9="Downside",D5,C5)</f>
        <v>800</v>
      </c>
      <c r="F5" s="11" t="s">
        <v>30</v>
      </c>
    </row>
    <row r="6" customFormat="false" ht="15" hidden="false" customHeight="false" outlineLevel="0" collapsed="false">
      <c r="B6" s="0" t="s">
        <v>31</v>
      </c>
      <c r="C6" s="9" t="n">
        <v>80</v>
      </c>
      <c r="D6" s="9" t="n">
        <v>95</v>
      </c>
      <c r="E6" s="10" t="n">
        <f aca="false">IF(Cover!$C$9="Downside",D6,C6)</f>
        <v>80</v>
      </c>
      <c r="F6" s="11" t="s">
        <v>30</v>
      </c>
    </row>
    <row r="7" customFormat="false" ht="15" hidden="false" customHeight="false" outlineLevel="0" collapsed="false">
      <c r="B7" s="0" t="s">
        <v>32</v>
      </c>
      <c r="C7" s="12" t="n">
        <v>0.08</v>
      </c>
      <c r="D7" s="12" t="n">
        <v>0.12</v>
      </c>
      <c r="E7" s="13" t="n">
        <f aca="false">IF(Cover!$C$9="Downside",D7,C7)</f>
        <v>0.08</v>
      </c>
      <c r="F7" s="11" t="s">
        <v>33</v>
      </c>
    </row>
    <row r="8" customFormat="false" ht="15" hidden="false" customHeight="false" outlineLevel="0" collapsed="false">
      <c r="B8" s="0" t="s">
        <v>34</v>
      </c>
      <c r="C8" s="12" t="n">
        <v>0.7</v>
      </c>
      <c r="D8" s="12" t="n">
        <v>0.65</v>
      </c>
      <c r="E8" s="13" t="n">
        <f aca="false">IF(Cover!$C$9="Downside",D8,C8)</f>
        <v>0.7</v>
      </c>
      <c r="F8" s="11" t="s">
        <v>33</v>
      </c>
    </row>
    <row r="9" customFormat="false" ht="15" hidden="false" customHeight="false" outlineLevel="0" collapsed="false">
      <c r="B9" s="0" t="s">
        <v>35</v>
      </c>
      <c r="C9" s="14" t="n">
        <v>8</v>
      </c>
      <c r="D9" s="14" t="n">
        <v>10</v>
      </c>
      <c r="E9" s="15" t="n">
        <f aca="false">IF(Cover!$C$9="Downside",D9,C9)</f>
        <v>8</v>
      </c>
      <c r="F9" s="11" t="s">
        <v>36</v>
      </c>
    </row>
    <row r="10" customFormat="false" ht="15" hidden="false" customHeight="false" outlineLevel="0" collapsed="false">
      <c r="B10" s="0" t="s">
        <v>37</v>
      </c>
      <c r="C10" s="16" t="n">
        <v>0.075</v>
      </c>
      <c r="D10" s="16" t="n">
        <v>0.09</v>
      </c>
      <c r="E10" s="17" t="n">
        <f aca="false">IF(Cover!$C$9="Downside",D10,C10)</f>
        <v>0.075</v>
      </c>
      <c r="F10" s="11" t="s">
        <v>33</v>
      </c>
    </row>
    <row r="11" customFormat="false" ht="15" hidden="false" customHeight="false" outlineLevel="0" collapsed="false">
      <c r="B11" s="0" t="s">
        <v>38</v>
      </c>
      <c r="C11" s="9" t="n">
        <v>180</v>
      </c>
      <c r="D11" s="9" t="n">
        <v>150</v>
      </c>
      <c r="E11" s="10" t="n">
        <f aca="false">IF(Cover!$C$9="Downside",D11,C11)</f>
        <v>180</v>
      </c>
      <c r="F11" s="11" t="s">
        <v>30</v>
      </c>
    </row>
    <row r="12" customFormat="false" ht="15" hidden="false" customHeight="false" outlineLevel="0" collapsed="false">
      <c r="B12" s="0" t="s">
        <v>39</v>
      </c>
      <c r="C12" s="12" t="n">
        <v>0.025</v>
      </c>
      <c r="D12" s="12" t="n">
        <v>0</v>
      </c>
      <c r="E12" s="13" t="n">
        <f aca="false">IF(Cover!$C$9="Downside",D12,C12)</f>
        <v>0.025</v>
      </c>
      <c r="F12" s="11" t="s">
        <v>33</v>
      </c>
    </row>
    <row r="13" customFormat="false" ht="15" hidden="false" customHeight="false" outlineLevel="0" collapsed="false">
      <c r="B13" s="0" t="s">
        <v>40</v>
      </c>
      <c r="C13" s="12" t="n">
        <v>0.28</v>
      </c>
      <c r="D13" s="12" t="n">
        <v>0.36</v>
      </c>
      <c r="E13" s="13" t="n">
        <f aca="false">IF(Cover!$C$9="Downside",D13,C13)</f>
        <v>0.28</v>
      </c>
      <c r="F13" s="11" t="s">
        <v>33</v>
      </c>
    </row>
    <row r="14" customFormat="false" ht="15" hidden="false" customHeight="false" outlineLevel="0" collapsed="false">
      <c r="B14" s="0" t="s">
        <v>41</v>
      </c>
      <c r="C14" s="12" t="n">
        <v>0.035</v>
      </c>
      <c r="D14" s="12" t="n">
        <v>0.05</v>
      </c>
      <c r="E14" s="13" t="n">
        <f aca="false">IF(Cover!$C$9="Downside",D14,C14)</f>
        <v>0.035</v>
      </c>
      <c r="F14" s="11" t="s">
        <v>33</v>
      </c>
    </row>
    <row r="15" customFormat="false" ht="15" hidden="false" customHeight="false" outlineLevel="0" collapsed="false">
      <c r="B15" s="0" t="s">
        <v>42</v>
      </c>
      <c r="C15" s="12" t="n">
        <v>0.15</v>
      </c>
      <c r="D15" s="12" t="n">
        <v>0.1</v>
      </c>
      <c r="E15" s="13" t="n">
        <f aca="false">IF(Cover!$C$9="Downside",D15,C15)</f>
        <v>0.15</v>
      </c>
      <c r="F15" s="11" t="s">
        <v>33</v>
      </c>
    </row>
    <row r="16" customFormat="false" ht="15" hidden="false" customHeight="false" outlineLevel="0" collapsed="false">
      <c r="B16" s="0" t="s">
        <v>43</v>
      </c>
      <c r="C16" s="18" t="n">
        <v>1.35</v>
      </c>
      <c r="D16" s="18" t="n">
        <v>1.45</v>
      </c>
      <c r="E16" s="19" t="n">
        <f aca="false">IF(Cover!$C$9="Downside",D16,C16)</f>
        <v>1.35</v>
      </c>
      <c r="F16" s="11" t="s">
        <v>44</v>
      </c>
    </row>
    <row r="17" customFormat="false" ht="15" hidden="false" customHeight="false" outlineLevel="0" collapsed="false">
      <c r="B17" s="0" t="s">
        <v>45</v>
      </c>
      <c r="C17" s="18" t="n">
        <v>1.2</v>
      </c>
      <c r="D17" s="18" t="n">
        <v>1.2</v>
      </c>
      <c r="E17" s="19" t="n">
        <f aca="false">IF(Cover!$C$9="Downside",D17,C17)</f>
        <v>1.2</v>
      </c>
      <c r="F17" s="11" t="s">
        <v>44</v>
      </c>
    </row>
    <row r="18" customFormat="false" ht="15" hidden="false" customHeight="false" outlineLevel="0" collapsed="false">
      <c r="B18" s="0" t="s">
        <v>46</v>
      </c>
      <c r="C18" s="16" t="n">
        <v>0.065</v>
      </c>
      <c r="D18" s="16" t="n">
        <v>0.08</v>
      </c>
      <c r="E18" s="17" t="n">
        <f aca="false">IF(Cover!$C$9="Downside",D18,C18)</f>
        <v>0.065</v>
      </c>
      <c r="F18" s="11" t="s">
        <v>33</v>
      </c>
    </row>
    <row r="19" customFormat="false" ht="15" hidden="false" customHeight="false" outlineLevel="0" collapsed="false">
      <c r="B19" s="0" t="s">
        <v>47</v>
      </c>
      <c r="C19" s="14" t="n">
        <v>10</v>
      </c>
      <c r="D19" s="14" t="n">
        <v>10</v>
      </c>
      <c r="E19" s="15" t="n">
        <f aca="false">IF(Cover!$C$9="Downside",D19,C19)</f>
        <v>10</v>
      </c>
      <c r="F19" s="11" t="s">
        <v>48</v>
      </c>
    </row>
    <row r="20" customFormat="false" ht="15" hidden="false" customHeight="false" outlineLevel="0" collapsed="false">
      <c r="B20" s="0" t="s">
        <v>49</v>
      </c>
      <c r="C20" s="20" t="n">
        <v>6</v>
      </c>
      <c r="D20" s="20" t="n">
        <v>9</v>
      </c>
      <c r="E20" s="21" t="n">
        <f aca="false">IF(Cover!$C$9="Downside",D20,C20)</f>
        <v>6</v>
      </c>
      <c r="F20" s="11" t="s">
        <v>50</v>
      </c>
    </row>
    <row r="21" customFormat="false" ht="15" hidden="false" customHeight="false" outlineLevel="0" collapsed="false">
      <c r="B21" s="0" t="s">
        <v>51</v>
      </c>
      <c r="C21" s="16" t="n">
        <v>0.07</v>
      </c>
      <c r="D21" s="16" t="n">
        <v>0.085</v>
      </c>
      <c r="E21" s="17" t="n">
        <f aca="false">IF(Cover!$C$9="Downside",D21,C21)</f>
        <v>0.07</v>
      </c>
      <c r="F21" s="11" t="s">
        <v>33</v>
      </c>
    </row>
    <row r="22" customFormat="false" ht="15" hidden="false" customHeight="false" outlineLevel="0" collapsed="false">
      <c r="B22" s="0" t="s">
        <v>52</v>
      </c>
      <c r="C22" s="9" t="n">
        <v>2</v>
      </c>
      <c r="D22" s="9" t="n">
        <v>4</v>
      </c>
      <c r="E22" s="10" t="n">
        <f aca="false">IF(Cover!$C$9="Downside",D22,C22)</f>
        <v>2</v>
      </c>
      <c r="F22" s="11" t="s">
        <v>30</v>
      </c>
    </row>
    <row r="23" customFormat="false" ht="15" hidden="false" customHeight="false" outlineLevel="0" collapsed="false">
      <c r="B23" s="0" t="s">
        <v>53</v>
      </c>
      <c r="C23" s="12" t="n">
        <v>0.97</v>
      </c>
      <c r="D23" s="12" t="n">
        <v>0.85</v>
      </c>
      <c r="E23" s="13" t="n">
        <f aca="false">IF(Cover!$C$9="Downside",D23,C23)</f>
        <v>0.97</v>
      </c>
      <c r="F23" s="11" t="s">
        <v>33</v>
      </c>
    </row>
    <row r="24" customFormat="false" ht="15" hidden="false" customHeight="false" outlineLevel="0" collapsed="false">
      <c r="B24" s="0" t="s">
        <v>54</v>
      </c>
      <c r="C24" s="12" t="n">
        <v>0.02</v>
      </c>
      <c r="D24" s="12" t="n">
        <v>0.03</v>
      </c>
      <c r="E24" s="13" t="n">
        <f aca="false">IF(Cover!$C$9="Downside",D24,C24)</f>
        <v>0.02</v>
      </c>
      <c r="F24" s="11" t="s">
        <v>33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3" min="3" style="0" width="12"/>
  </cols>
  <sheetData>
    <row r="2" customFormat="false" ht="27.75" hidden="false" customHeight="true" outlineLevel="0" collapsed="false">
      <c r="B2" s="1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15" hidden="false" customHeight="false" outlineLevel="0" collapsed="false">
      <c r="B4" s="8" t="s">
        <v>30</v>
      </c>
      <c r="C4" s="8" t="s">
        <v>56</v>
      </c>
      <c r="D4" s="8" t="s">
        <v>57</v>
      </c>
      <c r="E4" s="8" t="s">
        <v>58</v>
      </c>
      <c r="F4" s="8" t="s">
        <v>59</v>
      </c>
      <c r="G4" s="8" t="s">
        <v>60</v>
      </c>
      <c r="H4" s="8" t="s">
        <v>61</v>
      </c>
      <c r="I4" s="8" t="s">
        <v>62</v>
      </c>
      <c r="J4" s="8" t="s">
        <v>63</v>
      </c>
      <c r="K4" s="8" t="s">
        <v>64</v>
      </c>
      <c r="L4" s="8" t="s">
        <v>65</v>
      </c>
      <c r="M4" s="8" t="s">
        <v>66</v>
      </c>
    </row>
    <row r="5" customFormat="false" ht="15" hidden="false" customHeight="false" outlineLevel="0" collapsed="false">
      <c r="B5" s="0" t="s">
        <v>67</v>
      </c>
      <c r="C5" s="12" t="n">
        <v>0.05</v>
      </c>
      <c r="D5" s="12" t="n">
        <v>0.1</v>
      </c>
      <c r="E5" s="12" t="n">
        <v>0.15</v>
      </c>
      <c r="F5" s="12" t="n">
        <v>0.18</v>
      </c>
      <c r="G5" s="12" t="n">
        <v>0.18</v>
      </c>
      <c r="H5" s="12" t="n">
        <v>0.14</v>
      </c>
      <c r="I5" s="12" t="n">
        <v>0.12</v>
      </c>
      <c r="J5" s="12" t="n">
        <v>0.08</v>
      </c>
      <c r="K5" s="12" t="n">
        <v>0</v>
      </c>
      <c r="L5" s="12" t="n">
        <v>0</v>
      </c>
      <c r="M5" s="22" t="n">
        <f aca="false">SUM(C5:L5)</f>
        <v>1</v>
      </c>
    </row>
    <row r="6" customFormat="false" ht="15" hidden="false" customHeight="false" outlineLevel="0" collapsed="false">
      <c r="B6" s="0" t="s">
        <v>68</v>
      </c>
      <c r="C6" s="23" t="n">
        <f aca="false">IF(1&lt;=Assumptions!$E$9,Assumptions!$E$5*C$5,0)</f>
        <v>40</v>
      </c>
      <c r="D6" s="23" t="n">
        <f aca="false">IF(2&lt;=Assumptions!$E$9,Assumptions!$E$5*D$5,0)</f>
        <v>80</v>
      </c>
      <c r="E6" s="23" t="n">
        <f aca="false">IF(3&lt;=Assumptions!$E$9,Assumptions!$E$5*E$5,0)</f>
        <v>120</v>
      </c>
      <c r="F6" s="23" t="n">
        <f aca="false">IF(4&lt;=Assumptions!$E$9,Assumptions!$E$5*F$5,0)</f>
        <v>144</v>
      </c>
      <c r="G6" s="23" t="n">
        <f aca="false">IF(5&lt;=Assumptions!$E$9,Assumptions!$E$5*G$5,0)</f>
        <v>144</v>
      </c>
      <c r="H6" s="23" t="n">
        <f aca="false">IF(6&lt;=Assumptions!$E$9,Assumptions!$E$5*H$5,0)</f>
        <v>112</v>
      </c>
      <c r="I6" s="23" t="n">
        <f aca="false">IF(7&lt;=Assumptions!$E$9,Assumptions!$E$5*I$5,0)</f>
        <v>96</v>
      </c>
      <c r="J6" s="23" t="n">
        <f aca="false">IF(8&lt;=Assumptions!$E$9,Assumptions!$E$5*J$5,0)</f>
        <v>64</v>
      </c>
      <c r="K6" s="23" t="n">
        <f aca="false">IF(9&lt;=Assumptions!$E$9,Assumptions!$E$5*K$5,0)</f>
        <v>0</v>
      </c>
      <c r="L6" s="23" t="n">
        <f aca="false">IF(10&lt;=Assumptions!$E$9,Assumptions!$E$5*L$5,0)</f>
        <v>0</v>
      </c>
      <c r="M6" s="23" t="n">
        <f aca="false">SUM(C6:L6)</f>
        <v>800</v>
      </c>
    </row>
    <row r="7" customFormat="false" ht="15" hidden="false" customHeight="false" outlineLevel="0" collapsed="false">
      <c r="B7" s="0" t="s">
        <v>69</v>
      </c>
      <c r="C7" s="23" t="n">
        <f aca="false">IF(1&lt;=Assumptions!$E$9,Assumptions!$E$6/Assumptions!$E$9,0)</f>
        <v>10</v>
      </c>
      <c r="D7" s="23" t="n">
        <f aca="false">IF(2&lt;=Assumptions!$E$9,Assumptions!$E$6/Assumptions!$E$9,0)</f>
        <v>10</v>
      </c>
      <c r="E7" s="23" t="n">
        <f aca="false">IF(3&lt;=Assumptions!$E$9,Assumptions!$E$6/Assumptions!$E$9,0)</f>
        <v>10</v>
      </c>
      <c r="F7" s="23" t="n">
        <f aca="false">IF(4&lt;=Assumptions!$E$9,Assumptions!$E$6/Assumptions!$E$9,0)</f>
        <v>10</v>
      </c>
      <c r="G7" s="23" t="n">
        <f aca="false">IF(5&lt;=Assumptions!$E$9,Assumptions!$E$6/Assumptions!$E$9,0)</f>
        <v>10</v>
      </c>
      <c r="H7" s="23" t="n">
        <f aca="false">IF(6&lt;=Assumptions!$E$9,Assumptions!$E$6/Assumptions!$E$9,0)</f>
        <v>10</v>
      </c>
      <c r="I7" s="23" t="n">
        <f aca="false">IF(7&lt;=Assumptions!$E$9,Assumptions!$E$6/Assumptions!$E$9,0)</f>
        <v>10</v>
      </c>
      <c r="J7" s="23" t="n">
        <f aca="false">IF(8&lt;=Assumptions!$E$9,Assumptions!$E$6/Assumptions!$E$9,0)</f>
        <v>10</v>
      </c>
      <c r="K7" s="23" t="n">
        <f aca="false">IF(9&lt;=Assumptions!$E$9,Assumptions!$E$6/Assumptions!$E$9,0)</f>
        <v>0</v>
      </c>
      <c r="L7" s="23" t="n">
        <f aca="false">IF(10&lt;=Assumptions!$E$9,Assumptions!$E$6/Assumptions!$E$9,0)</f>
        <v>0</v>
      </c>
      <c r="M7" s="23" t="n">
        <f aca="false">SUM(C7:L7)</f>
        <v>80</v>
      </c>
    </row>
    <row r="8" customFormat="false" ht="15" hidden="false" customHeight="false" outlineLevel="0" collapsed="false">
      <c r="B8" s="0" t="s">
        <v>70</v>
      </c>
      <c r="C8" s="23" t="n">
        <f aca="false">C6*Assumptions!$E$7</f>
        <v>3.2</v>
      </c>
      <c r="D8" s="23" t="n">
        <f aca="false">D6*Assumptions!$E$7</f>
        <v>6.4</v>
      </c>
      <c r="E8" s="23" t="n">
        <f aca="false">E6*Assumptions!$E$7</f>
        <v>9.6</v>
      </c>
      <c r="F8" s="23" t="n">
        <f aca="false">F6*Assumptions!$E$7</f>
        <v>11.52</v>
      </c>
      <c r="G8" s="23" t="n">
        <f aca="false">G6*Assumptions!$E$7</f>
        <v>11.52</v>
      </c>
      <c r="H8" s="23" t="n">
        <f aca="false">H6*Assumptions!$E$7</f>
        <v>8.96</v>
      </c>
      <c r="I8" s="23" t="n">
        <f aca="false">I6*Assumptions!$E$7</f>
        <v>7.68</v>
      </c>
      <c r="J8" s="23" t="n">
        <f aca="false">J6*Assumptions!$E$7</f>
        <v>5.12</v>
      </c>
      <c r="K8" s="23" t="n">
        <f aca="false">K6*Assumptions!$E$7</f>
        <v>0</v>
      </c>
      <c r="L8" s="23" t="n">
        <f aca="false">L6*Assumptions!$E$7</f>
        <v>0</v>
      </c>
      <c r="M8" s="23" t="n">
        <f aca="false">SUM(C8:L8)</f>
        <v>64</v>
      </c>
    </row>
    <row r="9" customFormat="false" ht="15" hidden="false" customHeight="false" outlineLevel="0" collapsed="false">
      <c r="B9" s="24" t="s">
        <v>71</v>
      </c>
      <c r="C9" s="25" t="n">
        <f aca="false">SUM(C6:C8)</f>
        <v>53.2</v>
      </c>
      <c r="D9" s="25" t="n">
        <f aca="false">SUM(D6:D8)</f>
        <v>96.4</v>
      </c>
      <c r="E9" s="25" t="n">
        <f aca="false">SUM(E6:E8)</f>
        <v>139.6</v>
      </c>
      <c r="F9" s="25" t="n">
        <f aca="false">SUM(F6:F8)</f>
        <v>165.52</v>
      </c>
      <c r="G9" s="25" t="n">
        <f aca="false">SUM(G6:G8)</f>
        <v>165.52</v>
      </c>
      <c r="H9" s="25" t="n">
        <f aca="false">SUM(H6:H8)</f>
        <v>130.96</v>
      </c>
      <c r="I9" s="25" t="n">
        <f aca="false">SUM(I6:I8)</f>
        <v>113.68</v>
      </c>
      <c r="J9" s="25" t="n">
        <f aca="false">SUM(J6:J8)</f>
        <v>79.12</v>
      </c>
      <c r="K9" s="25" t="n">
        <f aca="false">SUM(K6:K8)</f>
        <v>0</v>
      </c>
      <c r="L9" s="25" t="n">
        <f aca="false">SUM(L6:L8)</f>
        <v>0</v>
      </c>
      <c r="M9" s="25" t="n">
        <f aca="false">SUM(C9:L9)</f>
        <v>944</v>
      </c>
    </row>
    <row r="10" customFormat="false" ht="15" hidden="false" customHeight="false" outlineLevel="0" collapsed="false">
      <c r="B10" s="0" t="s">
        <v>72</v>
      </c>
      <c r="C10" s="23" t="n">
        <f aca="false">C9*(1-Assumptions!$E$8)</f>
        <v>15.96</v>
      </c>
      <c r="D10" s="23" t="n">
        <f aca="false">D9*(1-Assumptions!$E$8)</f>
        <v>28.92</v>
      </c>
      <c r="E10" s="23" t="n">
        <f aca="false">E9*(1-Assumptions!$E$8)</f>
        <v>41.88</v>
      </c>
      <c r="F10" s="23" t="n">
        <f aca="false">F9*(1-Assumptions!$E$8)</f>
        <v>49.656</v>
      </c>
      <c r="G10" s="23" t="n">
        <f aca="false">G9*(1-Assumptions!$E$8)</f>
        <v>49.656</v>
      </c>
      <c r="H10" s="23" t="n">
        <f aca="false">H9*(1-Assumptions!$E$8)</f>
        <v>39.288</v>
      </c>
      <c r="I10" s="23" t="n">
        <f aca="false">I9*(1-Assumptions!$E$8)</f>
        <v>34.104</v>
      </c>
      <c r="J10" s="23" t="n">
        <f aca="false">J9*(1-Assumptions!$E$8)</f>
        <v>23.736</v>
      </c>
      <c r="K10" s="23" t="n">
        <f aca="false">K9*(1-Assumptions!$E$8)</f>
        <v>0</v>
      </c>
      <c r="L10" s="23" t="n">
        <f aca="false">L9*(1-Assumptions!$E$8)</f>
        <v>0</v>
      </c>
      <c r="M10" s="23" t="n">
        <f aca="false">SUM(C10:L10)</f>
        <v>283.2</v>
      </c>
    </row>
    <row r="11" customFormat="false" ht="15" hidden="false" customHeight="false" outlineLevel="0" collapsed="false">
      <c r="B11" s="0" t="s">
        <v>73</v>
      </c>
      <c r="C11" s="23" t="n">
        <f aca="false">C9*Assumptions!$E$8</f>
        <v>37.24</v>
      </c>
      <c r="D11" s="23" t="n">
        <f aca="false">D9*Assumptions!$E$8</f>
        <v>67.48</v>
      </c>
      <c r="E11" s="23" t="n">
        <f aca="false">E9*Assumptions!$E$8</f>
        <v>97.72</v>
      </c>
      <c r="F11" s="23" t="n">
        <f aca="false">F9*Assumptions!$E$8</f>
        <v>115.864</v>
      </c>
      <c r="G11" s="23" t="n">
        <f aca="false">G9*Assumptions!$E$8</f>
        <v>115.864</v>
      </c>
      <c r="H11" s="23" t="n">
        <f aca="false">H9*Assumptions!$E$8</f>
        <v>91.672</v>
      </c>
      <c r="I11" s="23" t="n">
        <f aca="false">I9*Assumptions!$E$8</f>
        <v>79.576</v>
      </c>
      <c r="J11" s="23" t="n">
        <f aca="false">J9*Assumptions!$E$8</f>
        <v>55.384</v>
      </c>
      <c r="K11" s="23" t="n">
        <f aca="false">K9*Assumptions!$E$8</f>
        <v>0</v>
      </c>
      <c r="L11" s="23" t="n">
        <f aca="false">L9*Assumptions!$E$8</f>
        <v>0</v>
      </c>
      <c r="M11" s="23" t="n">
        <f aca="false">SUM(C11:L11)</f>
        <v>660.8</v>
      </c>
    </row>
    <row r="12" customFormat="false" ht="15" hidden="false" customHeight="false" outlineLevel="0" collapsed="false">
      <c r="B12" s="0" t="s">
        <v>74</v>
      </c>
      <c r="C12" s="23" t="n">
        <v>0</v>
      </c>
      <c r="D12" s="23" t="n">
        <f aca="false">C14</f>
        <v>37.589125</v>
      </c>
      <c r="E12" s="23" t="n">
        <f aca="false">D14</f>
        <v>106.40654609375</v>
      </c>
      <c r="F12" s="23" t="n">
        <f aca="false">E14</f>
        <v>207.037793833008</v>
      </c>
      <c r="G12" s="23" t="n">
        <f aca="false">F14</f>
        <v>327.869977467377</v>
      </c>
      <c r="H12" s="23" t="n">
        <f aca="false">G14</f>
        <v>450.96776454489</v>
      </c>
      <c r="I12" s="23" t="n">
        <f aca="false">H14</f>
        <v>551.954835130107</v>
      </c>
      <c r="J12" s="23" t="n">
        <f aca="false">I14</f>
        <v>642.626013288796</v>
      </c>
      <c r="K12" s="23" t="n">
        <f aca="false">J14</f>
        <v>710.578476037961</v>
      </c>
      <c r="L12" s="23" t="n">
        <f aca="false">K14</f>
        <v>723.901822463673</v>
      </c>
      <c r="M12" s="23" t="n">
        <f aca="false">SUM(C12:L12)</f>
        <v>3758.93235385956</v>
      </c>
    </row>
    <row r="13" customFormat="false" ht="15" hidden="false" customHeight="false" outlineLevel="0" collapsed="false">
      <c r="B13" s="0" t="s">
        <v>75</v>
      </c>
      <c r="C13" s="23" t="n">
        <f aca="false">(C12+0.5*C11)*Assumptions!$E$10/4</f>
        <v>0.349125</v>
      </c>
      <c r="D13" s="23" t="n">
        <f aca="false">(D12+0.5*D11)*Assumptions!$E$10/4</f>
        <v>1.33742109375</v>
      </c>
      <c r="E13" s="23" t="n">
        <f aca="false">(E12+0.5*E11)*Assumptions!$E$10/4</f>
        <v>2.91124773925781</v>
      </c>
      <c r="F13" s="23" t="n">
        <f aca="false">(F12+0.5*F11)*Assumptions!$E$10/4</f>
        <v>4.9681836343689</v>
      </c>
      <c r="G13" s="23" t="n">
        <f aca="false">(G12+0.5*G11)*Assumptions!$E$10/4</f>
        <v>7.23378707751331</v>
      </c>
      <c r="H13" s="23" t="n">
        <f aca="false">(H12+0.5*H11)*Assumptions!$E$10/4</f>
        <v>9.31507058521669</v>
      </c>
      <c r="I13" s="23" t="n">
        <f aca="false">(I12+0.5*I11)*Assumptions!$E$10/4</f>
        <v>11.0951781586895</v>
      </c>
      <c r="J13" s="23" t="n">
        <f aca="false">(J12+0.5*J11)*Assumptions!$E$10/4</f>
        <v>12.5684627491649</v>
      </c>
      <c r="K13" s="23" t="n">
        <f aca="false">(K12+0.5*K11)*Assumptions!$E$10/4</f>
        <v>13.3233464257118</v>
      </c>
      <c r="L13" s="23" t="n">
        <f aca="false">(L12+0.5*L11)*Assumptions!$E$10/4</f>
        <v>13.5731591711939</v>
      </c>
      <c r="M13" s="23" t="n">
        <f aca="false">SUM(C13:L13)</f>
        <v>76.6749816348668</v>
      </c>
    </row>
    <row r="14" customFormat="false" ht="15" hidden="false" customHeight="false" outlineLevel="0" collapsed="false">
      <c r="B14" s="24" t="s">
        <v>76</v>
      </c>
      <c r="C14" s="25" t="n">
        <f aca="false">C12+C11+C13</f>
        <v>37.589125</v>
      </c>
      <c r="D14" s="25" t="n">
        <f aca="false">D12+D11+D13</f>
        <v>106.40654609375</v>
      </c>
      <c r="E14" s="25" t="n">
        <f aca="false">E12+E11+E13</f>
        <v>207.037793833008</v>
      </c>
      <c r="F14" s="25" t="n">
        <f aca="false">F12+F11+F13</f>
        <v>327.869977467377</v>
      </c>
      <c r="G14" s="25" t="n">
        <f aca="false">G12+G11+G13</f>
        <v>450.96776454489</v>
      </c>
      <c r="H14" s="25" t="n">
        <f aca="false">H12+H11+H13</f>
        <v>551.954835130107</v>
      </c>
      <c r="I14" s="25" t="n">
        <f aca="false">I12+I11+I13</f>
        <v>642.626013288796</v>
      </c>
      <c r="J14" s="25" t="n">
        <f aca="false">J12+J11+J13</f>
        <v>710.578476037961</v>
      </c>
      <c r="K14" s="25" t="n">
        <f aca="false">K12+K11+K13</f>
        <v>723.901822463673</v>
      </c>
      <c r="L14" s="25" t="n">
        <f aca="false">L12+L11+L13</f>
        <v>737.474981634867</v>
      </c>
      <c r="M14" s="25" t="n">
        <f aca="false">L14</f>
        <v>737.474981634867</v>
      </c>
    </row>
    <row r="15" customFormat="false" ht="15" hidden="false" customHeight="false" outlineLevel="0" collapsed="false">
      <c r="B15" s="24" t="s">
        <v>77</v>
      </c>
      <c r="C15" s="25" t="n">
        <f aca="false">C9</f>
        <v>53.2</v>
      </c>
      <c r="D15" s="25" t="n">
        <f aca="false">C15+D9</f>
        <v>149.6</v>
      </c>
      <c r="E15" s="25" t="n">
        <f aca="false">D15+E9</f>
        <v>289.2</v>
      </c>
      <c r="F15" s="25" t="n">
        <f aca="false">E15+F9</f>
        <v>454.72</v>
      </c>
      <c r="G15" s="25" t="n">
        <f aca="false">F15+G9</f>
        <v>620.24</v>
      </c>
      <c r="H15" s="25" t="n">
        <f aca="false">G15+H9</f>
        <v>751.2</v>
      </c>
      <c r="I15" s="25" t="n">
        <f aca="false">H15+I9</f>
        <v>864.88</v>
      </c>
      <c r="J15" s="25" t="n">
        <f aca="false">I15+J9</f>
        <v>944</v>
      </c>
      <c r="K15" s="25" t="n">
        <f aca="false">J15+K9</f>
        <v>944</v>
      </c>
      <c r="L15" s="25" t="n">
        <f aca="false">K15+L9</f>
        <v>944</v>
      </c>
      <c r="M15" s="25" t="n">
        <f aca="false">L15</f>
        <v>944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78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79</v>
      </c>
      <c r="C4" s="8" t="s">
        <v>80</v>
      </c>
      <c r="D4" s="8"/>
      <c r="E4" s="8" t="s">
        <v>81</v>
      </c>
      <c r="F4" s="8" t="s">
        <v>80</v>
      </c>
      <c r="G4" s="8"/>
    </row>
    <row r="5" customFormat="false" ht="15" hidden="false" customHeight="false" outlineLevel="0" collapsed="false">
      <c r="B5" s="0" t="s">
        <v>68</v>
      </c>
      <c r="C5" s="23" t="n">
        <f aca="false">Construction!M6</f>
        <v>800</v>
      </c>
      <c r="E5" s="11" t="s">
        <v>82</v>
      </c>
      <c r="F5" s="23" t="n">
        <f aca="false">Construction!M14</f>
        <v>737.474981634867</v>
      </c>
    </row>
    <row r="6" customFormat="false" ht="15" hidden="false" customHeight="false" outlineLevel="0" collapsed="false">
      <c r="B6" s="0" t="s">
        <v>69</v>
      </c>
      <c r="C6" s="23" t="n">
        <f aca="false">Construction!M7</f>
        <v>80</v>
      </c>
      <c r="E6" s="11" t="s">
        <v>83</v>
      </c>
      <c r="F6" s="23" t="n">
        <f aca="false">MAX(0,C10-F5)</f>
        <v>321.450995925926</v>
      </c>
    </row>
    <row r="7" customFormat="false" ht="15" hidden="false" customHeight="false" outlineLevel="0" collapsed="false">
      <c r="B7" s="0" t="s">
        <v>70</v>
      </c>
      <c r="C7" s="23" t="n">
        <f aca="false">Construction!M8</f>
        <v>64</v>
      </c>
      <c r="E7" s="11" t="s">
        <v>84</v>
      </c>
      <c r="F7" s="9" t="n">
        <v>0</v>
      </c>
    </row>
    <row r="8" customFormat="false" ht="15" hidden="false" customHeight="false" outlineLevel="0" collapsed="false">
      <c r="B8" s="0" t="s">
        <v>75</v>
      </c>
      <c r="C8" s="23" t="n">
        <f aca="false">Construction!M13</f>
        <v>76.6749816348668</v>
      </c>
      <c r="E8" s="24" t="s">
        <v>85</v>
      </c>
      <c r="F8" s="25" t="n">
        <f aca="false">SUM(F5:F7)</f>
        <v>1058.92597756079</v>
      </c>
    </row>
    <row r="9" customFormat="false" ht="15" hidden="false" customHeight="false" outlineLevel="0" collapsed="false">
      <c r="B9" s="0" t="s">
        <v>86</v>
      </c>
      <c r="C9" s="23" t="n">
        <f aca="false">DSRA!C7</f>
        <v>38.2509959259259</v>
      </c>
      <c r="E9" s="11" t="s">
        <v>87</v>
      </c>
      <c r="F9" s="23" t="n">
        <f aca="false">F8-C10</f>
        <v>0</v>
      </c>
    </row>
    <row r="10" customFormat="false" ht="15" hidden="false" customHeight="false" outlineLevel="0" collapsed="false">
      <c r="B10" s="24" t="s">
        <v>88</v>
      </c>
      <c r="C10" s="25" t="n">
        <f aca="false">SUM(C5:C9)</f>
        <v>1058.92597756079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89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30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100</v>
      </c>
      <c r="C5" s="23" t="n">
        <f aca="false">Assumptions!E11</f>
        <v>180</v>
      </c>
      <c r="D5" s="23" t="n">
        <f aca="false">C5*(1+Assumptions!$E$12+Assumptions!$E$24)</f>
        <v>188.1</v>
      </c>
      <c r="E5" s="23" t="n">
        <f aca="false">D5*(1+Assumptions!$E$12+Assumptions!$E$24)</f>
        <v>196.5645</v>
      </c>
      <c r="F5" s="23" t="n">
        <f aca="false">E5*(1+Assumptions!$E$12+Assumptions!$E$24)</f>
        <v>205.4099025</v>
      </c>
      <c r="G5" s="23" t="n">
        <f aca="false">F5*(1+Assumptions!$E$12+Assumptions!$E$24)</f>
        <v>214.6533481125</v>
      </c>
      <c r="H5" s="23" t="n">
        <f aca="false">G5*(1+Assumptions!$E$12+Assumptions!$E$24)</f>
        <v>224.312748777562</v>
      </c>
      <c r="I5" s="23" t="n">
        <f aca="false">H5*(1+Assumptions!$E$12+Assumptions!$E$24)</f>
        <v>234.406822472553</v>
      </c>
      <c r="J5" s="23" t="n">
        <f aca="false">I5*(1+Assumptions!$E$12+Assumptions!$E$24)</f>
        <v>244.955129483818</v>
      </c>
      <c r="K5" s="23" t="n">
        <f aca="false">J5*(1+Assumptions!$E$12+Assumptions!$E$24)</f>
        <v>255.978110310589</v>
      </c>
      <c r="L5" s="23" t="n">
        <f aca="false">K5*(1+Assumptions!$E$12+Assumptions!$E$24)</f>
        <v>267.497125274566</v>
      </c>
    </row>
    <row r="6" customFormat="false" ht="15" hidden="false" customHeight="false" outlineLevel="0" collapsed="false">
      <c r="B6" s="0" t="s">
        <v>101</v>
      </c>
      <c r="C6" s="23" t="n">
        <f aca="false">C5*Assumptions!$E$23</f>
        <v>174.6</v>
      </c>
      <c r="D6" s="23" t="n">
        <f aca="false">D5*Assumptions!$E$23</f>
        <v>182.457</v>
      </c>
      <c r="E6" s="23" t="n">
        <f aca="false">E5*Assumptions!$E$23</f>
        <v>190.667565</v>
      </c>
      <c r="F6" s="23" t="n">
        <f aca="false">F5*Assumptions!$E$23</f>
        <v>199.247605425</v>
      </c>
      <c r="G6" s="23" t="n">
        <f aca="false">G5*Assumptions!$E$23</f>
        <v>208.213747669125</v>
      </c>
      <c r="H6" s="23" t="n">
        <f aca="false">H5*Assumptions!$E$23</f>
        <v>217.583366314236</v>
      </c>
      <c r="I6" s="23" t="n">
        <f aca="false">I5*Assumptions!$E$23</f>
        <v>227.374617798376</v>
      </c>
      <c r="J6" s="23" t="n">
        <f aca="false">J5*Assumptions!$E$23</f>
        <v>237.606475599303</v>
      </c>
      <c r="K6" s="23" t="n">
        <f aca="false">K5*Assumptions!$E$23</f>
        <v>248.298767001272</v>
      </c>
      <c r="L6" s="23" t="n">
        <f aca="false">L5*Assumptions!$E$23</f>
        <v>259.472211516329</v>
      </c>
    </row>
    <row r="7" customFormat="false" ht="15" hidden="false" customHeight="false" outlineLevel="0" collapsed="false">
      <c r="B7" s="0" t="s">
        <v>102</v>
      </c>
      <c r="C7" s="23" t="n">
        <f aca="false">C6*Assumptions!$E$13</f>
        <v>48.888</v>
      </c>
      <c r="D7" s="23" t="n">
        <f aca="false">D6*Assumptions!$E$13</f>
        <v>51.08796</v>
      </c>
      <c r="E7" s="23" t="n">
        <f aca="false">E6*Assumptions!$E$13</f>
        <v>53.3869182</v>
      </c>
      <c r="F7" s="23" t="n">
        <f aca="false">F6*Assumptions!$E$13</f>
        <v>55.789329519</v>
      </c>
      <c r="G7" s="23" t="n">
        <f aca="false">G6*Assumptions!$E$13</f>
        <v>58.299849347355</v>
      </c>
      <c r="H7" s="23" t="n">
        <f aca="false">H6*Assumptions!$E$13</f>
        <v>60.923342567986</v>
      </c>
      <c r="I7" s="23" t="n">
        <f aca="false">I6*Assumptions!$E$13</f>
        <v>63.6648929835453</v>
      </c>
      <c r="J7" s="23" t="n">
        <f aca="false">J6*Assumptions!$E$13</f>
        <v>66.5298131678049</v>
      </c>
      <c r="K7" s="23" t="n">
        <f aca="false">K6*Assumptions!$E$13</f>
        <v>69.5236547603561</v>
      </c>
      <c r="L7" s="23" t="n">
        <f aca="false">L6*Assumptions!$E$13</f>
        <v>72.6522192245721</v>
      </c>
    </row>
    <row r="8" customFormat="false" ht="15" hidden="false" customHeight="false" outlineLevel="0" collapsed="false">
      <c r="B8" s="24" t="s">
        <v>103</v>
      </c>
      <c r="C8" s="25" t="n">
        <f aca="false">C6-C7</f>
        <v>125.712</v>
      </c>
      <c r="D8" s="25" t="n">
        <f aca="false">D6-D7</f>
        <v>131.36904</v>
      </c>
      <c r="E8" s="25" t="n">
        <f aca="false">E6-E7</f>
        <v>137.2806468</v>
      </c>
      <c r="F8" s="25" t="n">
        <f aca="false">F6-F7</f>
        <v>143.458275906</v>
      </c>
      <c r="G8" s="25" t="n">
        <f aca="false">G6-G7</f>
        <v>149.91389832177</v>
      </c>
      <c r="H8" s="25" t="n">
        <f aca="false">H6-H7</f>
        <v>156.66002374625</v>
      </c>
      <c r="I8" s="25" t="n">
        <f aca="false">I6-I7</f>
        <v>163.709724814831</v>
      </c>
      <c r="J8" s="25" t="n">
        <f aca="false">J6-J7</f>
        <v>171.076662431498</v>
      </c>
      <c r="K8" s="25" t="n">
        <f aca="false">K6-K7</f>
        <v>178.775112240916</v>
      </c>
      <c r="L8" s="25" t="n">
        <f aca="false">L6-L7</f>
        <v>186.819992291757</v>
      </c>
    </row>
    <row r="9" customFormat="false" ht="15" hidden="false" customHeight="false" outlineLevel="0" collapsed="false">
      <c r="B9" s="0" t="s">
        <v>104</v>
      </c>
      <c r="C9" s="23" t="n">
        <f aca="false">MAX(0,C8*Assumptions!$E$15)</f>
        <v>18.8568</v>
      </c>
      <c r="D9" s="23" t="n">
        <f aca="false">MAX(0,D8*Assumptions!$E$15)</f>
        <v>19.705356</v>
      </c>
      <c r="E9" s="23" t="n">
        <f aca="false">MAX(0,E8*Assumptions!$E$15)</f>
        <v>20.59209702</v>
      </c>
      <c r="F9" s="23" t="n">
        <f aca="false">MAX(0,F8*Assumptions!$E$15)</f>
        <v>21.5187413859</v>
      </c>
      <c r="G9" s="23" t="n">
        <f aca="false">MAX(0,G8*Assumptions!$E$15)</f>
        <v>22.4870847482655</v>
      </c>
      <c r="H9" s="23" t="n">
        <f aca="false">MAX(0,H8*Assumptions!$E$15)</f>
        <v>23.4990035619374</v>
      </c>
      <c r="I9" s="23" t="n">
        <f aca="false">MAX(0,I8*Assumptions!$E$15)</f>
        <v>24.5564587222246</v>
      </c>
      <c r="J9" s="23" t="n">
        <f aca="false">MAX(0,J8*Assumptions!$E$15)</f>
        <v>25.6614993647247</v>
      </c>
      <c r="K9" s="23" t="n">
        <f aca="false">MAX(0,K8*Assumptions!$E$15)</f>
        <v>26.8162668361373</v>
      </c>
      <c r="L9" s="23" t="n">
        <f aca="false">MAX(0,L8*Assumptions!$E$15)</f>
        <v>28.0229988437635</v>
      </c>
    </row>
    <row r="10" customFormat="false" ht="15" hidden="false" customHeight="false" outlineLevel="0" collapsed="false">
      <c r="B10" s="0" t="s">
        <v>105</v>
      </c>
      <c r="C10" s="23" t="n">
        <f aca="false">C6*Assumptions!$E$14</f>
        <v>6.111</v>
      </c>
      <c r="D10" s="23" t="n">
        <f aca="false">D6*Assumptions!$E$14</f>
        <v>6.385995</v>
      </c>
      <c r="E10" s="23" t="n">
        <f aca="false">E6*Assumptions!$E$14</f>
        <v>6.673364775</v>
      </c>
      <c r="F10" s="23" t="n">
        <f aca="false">F6*Assumptions!$E$14</f>
        <v>6.973666189875</v>
      </c>
      <c r="G10" s="23" t="n">
        <f aca="false">G6*Assumptions!$E$14</f>
        <v>7.28748116841937</v>
      </c>
      <c r="H10" s="23" t="n">
        <f aca="false">H6*Assumptions!$E$14</f>
        <v>7.61541782099825</v>
      </c>
      <c r="I10" s="23" t="n">
        <f aca="false">I6*Assumptions!$E$14</f>
        <v>7.95811162294317</v>
      </c>
      <c r="J10" s="23" t="n">
        <f aca="false">J6*Assumptions!$E$14</f>
        <v>8.31622664597561</v>
      </c>
      <c r="K10" s="23" t="n">
        <f aca="false">K6*Assumptions!$E$14</f>
        <v>8.69045684504451</v>
      </c>
      <c r="L10" s="23" t="n">
        <f aca="false">L6*Assumptions!$E$14</f>
        <v>9.08152740307151</v>
      </c>
    </row>
    <row r="11" customFormat="false" ht="15" hidden="false" customHeight="false" outlineLevel="0" collapsed="false">
      <c r="B11" s="0" t="s">
        <v>106</v>
      </c>
      <c r="C11" s="23" t="n">
        <f aca="false">Assumptions!$E$22</f>
        <v>2</v>
      </c>
      <c r="D11" s="23" t="n">
        <f aca="false">Assumptions!$E$22</f>
        <v>2</v>
      </c>
      <c r="E11" s="23" t="n">
        <f aca="false">Assumptions!$E$22</f>
        <v>2</v>
      </c>
      <c r="F11" s="23" t="n">
        <f aca="false">Assumptions!$E$22</f>
        <v>2</v>
      </c>
      <c r="G11" s="23" t="n">
        <f aca="false">Assumptions!$E$22</f>
        <v>2</v>
      </c>
      <c r="H11" s="23" t="n">
        <f aca="false">Assumptions!$E$22</f>
        <v>2</v>
      </c>
      <c r="I11" s="23" t="n">
        <f aca="false">Assumptions!$E$22</f>
        <v>2</v>
      </c>
      <c r="J11" s="23" t="n">
        <f aca="false">Assumptions!$E$22</f>
        <v>2</v>
      </c>
      <c r="K11" s="23" t="n">
        <f aca="false">Assumptions!$E$22</f>
        <v>2</v>
      </c>
      <c r="L11" s="23" t="n">
        <f aca="false">Assumptions!$E$22</f>
        <v>2</v>
      </c>
    </row>
    <row r="12" customFormat="false" ht="15" hidden="false" customHeight="false" outlineLevel="0" collapsed="false">
      <c r="B12" s="24" t="s">
        <v>107</v>
      </c>
      <c r="C12" s="25" t="n">
        <f aca="false">C8-C9-C10-C11</f>
        <v>98.7442</v>
      </c>
      <c r="D12" s="25" t="n">
        <f aca="false">D8-D9-D10-D11</f>
        <v>103.277689</v>
      </c>
      <c r="E12" s="25" t="n">
        <f aca="false">E8-E9-E10-E11</f>
        <v>108.015185005</v>
      </c>
      <c r="F12" s="25" t="n">
        <f aca="false">F8-F9-F10-F11</f>
        <v>112.965868330225</v>
      </c>
      <c r="G12" s="25" t="n">
        <f aca="false">G8-G9-G10-G11</f>
        <v>118.139332405085</v>
      </c>
      <c r="H12" s="25" t="n">
        <f aca="false">H8-H9-H10-H11</f>
        <v>123.545602363314</v>
      </c>
      <c r="I12" s="25" t="n">
        <f aca="false">I8-I9-I10-I11</f>
        <v>129.195154469663</v>
      </c>
      <c r="J12" s="25" t="n">
        <f aca="false">J8-J9-J10-J11</f>
        <v>135.098936420798</v>
      </c>
      <c r="K12" s="25" t="n">
        <f aca="false">K8-K9-K10-K11</f>
        <v>141.268388559734</v>
      </c>
      <c r="L12" s="25" t="n">
        <f aca="false">L8-L9-L10-L11</f>
        <v>147.715466044922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109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110</v>
      </c>
      <c r="C5" s="23" t="n">
        <f aca="false">Construction!M14</f>
        <v>737.474981634867</v>
      </c>
      <c r="D5" s="23" t="n">
        <f aca="false">C9</f>
        <v>712.267003589281</v>
      </c>
      <c r="E5" s="23" t="n">
        <f aca="false">D9</f>
        <v>682.062366970733</v>
      </c>
      <c r="F5" s="23" t="n">
        <f aca="false">E9</f>
        <v>646.385172671979</v>
      </c>
      <c r="G5" s="23" t="n">
        <f aca="false">F9</f>
        <v>604.721787910305</v>
      </c>
      <c r="H5" s="23" t="n">
        <f aca="false">G9</f>
        <v>556.518087528116</v>
      </c>
      <c r="I5" s="23" t="n">
        <f aca="false">H9</f>
        <v>501.176502207581</v>
      </c>
      <c r="J5" s="23" t="n">
        <f aca="false">I9</f>
        <v>438.052860429101</v>
      </c>
      <c r="K5" s="23" t="n">
        <f aca="false">J9</f>
        <v>366.453010119365</v>
      </c>
      <c r="L5" s="23" t="n">
        <f aca="false">K9</f>
        <v>285.629204992136</v>
      </c>
    </row>
    <row r="6" customFormat="false" ht="15" hidden="false" customHeight="false" outlineLevel="0" collapsed="false">
      <c r="B6" s="0" t="s">
        <v>111</v>
      </c>
      <c r="C6" s="23" t="n">
        <f aca="false">C5*Assumptions!$E$18</f>
        <v>47.9358738062663</v>
      </c>
      <c r="D6" s="23" t="n">
        <f aca="false">D5*Assumptions!$E$18</f>
        <v>46.2973552333033</v>
      </c>
      <c r="E6" s="23" t="n">
        <f aca="false">E5*Assumptions!$E$18</f>
        <v>44.3340538530976</v>
      </c>
      <c r="F6" s="23" t="n">
        <f aca="false">F5*Assumptions!$E$18</f>
        <v>42.0150362236786</v>
      </c>
      <c r="G6" s="23" t="n">
        <f aca="false">G5*Assumptions!$E$18</f>
        <v>39.3069162141698</v>
      </c>
      <c r="H6" s="23" t="n">
        <f aca="false">H5*Assumptions!$E$18</f>
        <v>36.1736756893275</v>
      </c>
      <c r="I6" s="23" t="n">
        <f aca="false">I5*Assumptions!$E$18</f>
        <v>32.5764726434928</v>
      </c>
      <c r="J6" s="23" t="n">
        <f aca="false">J5*Assumptions!$E$18</f>
        <v>28.4734359278916</v>
      </c>
      <c r="K6" s="23" t="n">
        <f aca="false">K5*Assumptions!$E$18</f>
        <v>23.8194456577587</v>
      </c>
      <c r="L6" s="23" t="n">
        <f aca="false">L5*Assumptions!$E$18</f>
        <v>18.5658983244888</v>
      </c>
    </row>
    <row r="7" customFormat="false" ht="15" hidden="false" customHeight="false" outlineLevel="0" collapsed="false">
      <c r="B7" s="0" t="s">
        <v>112</v>
      </c>
      <c r="C7" s="23" t="n">
        <f aca="false">Operations!C12/Assumptions!$E$16</f>
        <v>73.1438518518518</v>
      </c>
      <c r="D7" s="23" t="n">
        <f aca="false">Operations!D12/Assumptions!$E$16</f>
        <v>76.5019918518518</v>
      </c>
      <c r="E7" s="23" t="n">
        <f aca="false">Operations!E12/Assumptions!$E$16</f>
        <v>80.0112481518518</v>
      </c>
      <c r="F7" s="23" t="n">
        <f aca="false">Operations!F12/Assumptions!$E$16</f>
        <v>83.6784209853518</v>
      </c>
      <c r="G7" s="23" t="n">
        <f aca="false">Operations!G12/Assumptions!$E$16</f>
        <v>87.5106165963593</v>
      </c>
      <c r="H7" s="23" t="n">
        <f aca="false">Operations!H12/Assumptions!$E$16</f>
        <v>91.5152610098621</v>
      </c>
      <c r="I7" s="23" t="n">
        <f aca="false">Operations!I12/Assumptions!$E$16</f>
        <v>95.7001144219726</v>
      </c>
      <c r="J7" s="23" t="n">
        <f aca="false">Operations!J12/Assumptions!$E$16</f>
        <v>100.073286237628</v>
      </c>
      <c r="K7" s="23" t="n">
        <f aca="false">Operations!K12/Assumptions!$E$16</f>
        <v>104.643250784988</v>
      </c>
      <c r="L7" s="23" t="n">
        <f aca="false">Operations!L12/Assumptions!$E$16</f>
        <v>109.418863736979</v>
      </c>
    </row>
    <row r="8" customFormat="false" ht="15" hidden="false" customHeight="false" outlineLevel="0" collapsed="false">
      <c r="B8" s="0" t="s">
        <v>113</v>
      </c>
      <c r="C8" s="23" t="n">
        <f aca="false">MIN(C5,MAX(0,MAX(0,C7-C6)))</f>
        <v>25.2079780455855</v>
      </c>
      <c r="D8" s="23" t="n">
        <f aca="false">MIN(D5,MAX(0,MAX(0,D7-D6)))</f>
        <v>30.2046366185486</v>
      </c>
      <c r="E8" s="23" t="n">
        <f aca="false">MIN(E5,MAX(0,MAX(0,E7-E6)))</f>
        <v>35.6771942987542</v>
      </c>
      <c r="F8" s="23" t="n">
        <f aca="false">MIN(F5,MAX(0,MAX(0,F7-F6)))</f>
        <v>41.6633847616732</v>
      </c>
      <c r="G8" s="23" t="n">
        <f aca="false">MIN(G5,MAX(0,MAX(0,G7-G6)))</f>
        <v>48.2037003821895</v>
      </c>
      <c r="H8" s="23" t="n">
        <f aca="false">MIN(H5,MAX(0,MAX(0,H7-H6)))</f>
        <v>55.3415853205346</v>
      </c>
      <c r="I8" s="23" t="n">
        <f aca="false">MIN(I5,MAX(0,MAX(0,I7-I6)))</f>
        <v>63.1236417784798</v>
      </c>
      <c r="J8" s="23" t="n">
        <f aca="false">MIN(J5,MAX(0,MAX(0,J7-J6)))</f>
        <v>71.5998503097365</v>
      </c>
      <c r="K8" s="23" t="n">
        <f aca="false">MIN(K5,MAX(0,MAX(0,K7-K6)))</f>
        <v>80.8238051272292</v>
      </c>
      <c r="L8" s="23" t="n">
        <f aca="false">MIN(L5,MAX(L5,MAX(0,L7-L6)))</f>
        <v>285.629204992136</v>
      </c>
    </row>
    <row r="9" customFormat="false" ht="15" hidden="false" customHeight="false" outlineLevel="0" collapsed="false">
      <c r="B9" s="24" t="s">
        <v>114</v>
      </c>
      <c r="C9" s="25" t="n">
        <f aca="false">MAX(0,C5-C8)</f>
        <v>712.267003589281</v>
      </c>
      <c r="D9" s="25" t="n">
        <f aca="false">MAX(0,D5-D8)</f>
        <v>682.062366970733</v>
      </c>
      <c r="E9" s="25" t="n">
        <f aca="false">MAX(0,E5-E8)</f>
        <v>646.385172671979</v>
      </c>
      <c r="F9" s="25" t="n">
        <f aca="false">MAX(0,F5-F8)</f>
        <v>604.721787910305</v>
      </c>
      <c r="G9" s="25" t="n">
        <f aca="false">MAX(0,G5-G8)</f>
        <v>556.518087528116</v>
      </c>
      <c r="H9" s="25" t="n">
        <f aca="false">MAX(0,H5-H8)</f>
        <v>501.176502207581</v>
      </c>
      <c r="I9" s="25" t="n">
        <f aca="false">MAX(0,I5-I8)</f>
        <v>438.052860429101</v>
      </c>
      <c r="J9" s="25" t="n">
        <f aca="false">MAX(0,J5-J8)</f>
        <v>366.453010119365</v>
      </c>
      <c r="K9" s="25" t="n">
        <f aca="false">MAX(0,K5-K8)</f>
        <v>285.629204992136</v>
      </c>
      <c r="L9" s="25" t="n">
        <f aca="false">MAX(0,L5-L8)</f>
        <v>0</v>
      </c>
    </row>
    <row r="10" customFormat="false" ht="15" hidden="false" customHeight="false" outlineLevel="0" collapsed="false">
      <c r="B10" s="24" t="s">
        <v>115</v>
      </c>
      <c r="C10" s="25" t="n">
        <f aca="false">C6+C8</f>
        <v>73.1438518518518</v>
      </c>
      <c r="D10" s="25" t="n">
        <f aca="false">D6+D8</f>
        <v>76.5019918518518</v>
      </c>
      <c r="E10" s="25" t="n">
        <f aca="false">E6+E8</f>
        <v>80.0112481518518</v>
      </c>
      <c r="F10" s="25" t="n">
        <f aca="false">F6+F8</f>
        <v>83.6784209853518</v>
      </c>
      <c r="G10" s="25" t="n">
        <f aca="false">G6+G8</f>
        <v>87.5106165963593</v>
      </c>
      <c r="H10" s="25" t="n">
        <f aca="false">H6+H8</f>
        <v>91.5152610098621</v>
      </c>
      <c r="I10" s="25" t="n">
        <f aca="false">I6+I8</f>
        <v>95.7001144219726</v>
      </c>
      <c r="J10" s="25" t="n">
        <f aca="false">J6+J8</f>
        <v>100.073286237628</v>
      </c>
      <c r="K10" s="25" t="n">
        <f aca="false">K6+K8</f>
        <v>104.643250784988</v>
      </c>
      <c r="L10" s="25" t="n">
        <f aca="false">L6+L8</f>
        <v>304.195103316625</v>
      </c>
    </row>
    <row r="11" customFormat="false" ht="15" hidden="false" customHeight="false" outlineLevel="0" collapsed="false">
      <c r="B11" s="0" t="s">
        <v>107</v>
      </c>
      <c r="C11" s="23" t="n">
        <f aca="false">Operations!C12</f>
        <v>98.7442</v>
      </c>
      <c r="D11" s="23" t="n">
        <f aca="false">Operations!D12</f>
        <v>103.277689</v>
      </c>
      <c r="E11" s="23" t="n">
        <f aca="false">Operations!E12</f>
        <v>108.015185005</v>
      </c>
      <c r="F11" s="23" t="n">
        <f aca="false">Operations!F12</f>
        <v>112.965868330225</v>
      </c>
      <c r="G11" s="23" t="n">
        <f aca="false">Operations!G12</f>
        <v>118.139332405085</v>
      </c>
      <c r="H11" s="23" t="n">
        <f aca="false">Operations!H12</f>
        <v>123.545602363314</v>
      </c>
      <c r="I11" s="23" t="n">
        <f aca="false">Operations!I12</f>
        <v>129.195154469663</v>
      </c>
      <c r="J11" s="23" t="n">
        <f aca="false">Operations!J12</f>
        <v>135.098936420798</v>
      </c>
      <c r="K11" s="23" t="n">
        <f aca="false">Operations!K12</f>
        <v>141.268388559734</v>
      </c>
      <c r="L11" s="23" t="n">
        <f aca="false">Operations!L12</f>
        <v>147.715466044922</v>
      </c>
    </row>
    <row r="12" customFormat="false" ht="15" hidden="false" customHeight="false" outlineLevel="0" collapsed="false">
      <c r="B12" s="0" t="s">
        <v>116</v>
      </c>
      <c r="C12" s="26" t="n">
        <f aca="false">IFERROR(C11/C10,0)</f>
        <v>1.35</v>
      </c>
      <c r="D12" s="26" t="n">
        <f aca="false">IFERROR(D11/D10,0)</f>
        <v>1.35</v>
      </c>
      <c r="E12" s="26" t="n">
        <f aca="false">IFERROR(E11/E10,0)</f>
        <v>1.35</v>
      </c>
      <c r="F12" s="26" t="n">
        <f aca="false">IFERROR(F11/F10,0)</f>
        <v>1.35</v>
      </c>
      <c r="G12" s="26" t="n">
        <f aca="false">IFERROR(G11/G10,0)</f>
        <v>1.35</v>
      </c>
      <c r="H12" s="26" t="n">
        <f aca="false">IFERROR(H11/H10,0)</f>
        <v>1.35</v>
      </c>
      <c r="I12" s="26" t="n">
        <f aca="false">IFERROR(I11/I10,0)</f>
        <v>1.35</v>
      </c>
      <c r="J12" s="26" t="n">
        <f aca="false">IFERROR(J11/J10,0)</f>
        <v>1.35</v>
      </c>
      <c r="K12" s="26" t="n">
        <f aca="false">IFERROR(K11/K10,0)</f>
        <v>1.35</v>
      </c>
      <c r="L12" s="26" t="n">
        <f aca="false">IFERROR(L11/L10,0)</f>
        <v>0.485594489965115</v>
      </c>
    </row>
    <row r="13" customFormat="false" ht="15" hidden="false" customHeight="false" outlineLevel="0" collapsed="false">
      <c r="B13" s="0" t="s">
        <v>117</v>
      </c>
      <c r="C13" s="27" t="n">
        <f aca="false">1/(1+Assumptions!$E$21)^1</f>
        <v>0.934579439252336</v>
      </c>
      <c r="D13" s="27" t="n">
        <f aca="false">1/(1+Assumptions!$E$21)^2</f>
        <v>0.873438728273212</v>
      </c>
      <c r="E13" s="27" t="n">
        <f aca="false">1/(1+Assumptions!$E$21)^3</f>
        <v>0.816297876890852</v>
      </c>
      <c r="F13" s="27" t="n">
        <f aca="false">1/(1+Assumptions!$E$21)^4</f>
        <v>0.762895212047525</v>
      </c>
      <c r="G13" s="27" t="n">
        <f aca="false">1/(1+Assumptions!$E$21)^5</f>
        <v>0.712986179483668</v>
      </c>
      <c r="H13" s="27" t="n">
        <f aca="false">1/(1+Assumptions!$E$21)^6</f>
        <v>0.666342223816512</v>
      </c>
      <c r="I13" s="27" t="n">
        <f aca="false">1/(1+Assumptions!$E$21)^7</f>
        <v>0.622749741884591</v>
      </c>
      <c r="J13" s="27" t="n">
        <f aca="false">1/(1+Assumptions!$E$21)^8</f>
        <v>0.582009104565038</v>
      </c>
      <c r="K13" s="27" t="n">
        <f aca="false">1/(1+Assumptions!$E$21)^9</f>
        <v>0.543933742584148</v>
      </c>
      <c r="L13" s="27" t="n">
        <f aca="false">1/(1+Assumptions!$E$21)^10</f>
        <v>0.508349292134718</v>
      </c>
    </row>
    <row r="14" customFormat="false" ht="15" hidden="false" customHeight="false" outlineLevel="0" collapsed="false">
      <c r="B14" s="0" t="s">
        <v>118</v>
      </c>
      <c r="C14" s="23" t="n">
        <f aca="false">C11*C13</f>
        <v>92.2842990654206</v>
      </c>
      <c r="D14" s="23" t="n">
        <f aca="false">D11*D13</f>
        <v>90.2067333391562</v>
      </c>
      <c r="E14" s="23" t="n">
        <f aca="false">E11*E13</f>
        <v>88.1725661915541</v>
      </c>
      <c r="F14" s="23" t="n">
        <f aca="false">F11*F13</f>
        <v>86.1811200739198</v>
      </c>
      <c r="G14" s="23" t="n">
        <f aca="false">G11*G13</f>
        <v>84.2317112582527</v>
      </c>
      <c r="H14" s="23" t="n">
        <f aca="false">H11*H13</f>
        <v>82.3236514215212</v>
      </c>
      <c r="I14" s="23" t="n">
        <f aca="false">I11*I13</f>
        <v>80.4562490987225</v>
      </c>
      <c r="J14" s="23" t="n">
        <f aca="false">J11*J13</f>
        <v>78.6288110139576</v>
      </c>
      <c r="K14" s="23" t="n">
        <f aca="false">K11*K13</f>
        <v>76.8406432981276</v>
      </c>
      <c r="L14" s="23" t="n">
        <f aca="false">L11*L13</f>
        <v>75.0910526012859</v>
      </c>
    </row>
    <row r="15" customFormat="false" ht="15" hidden="false" customHeight="false" outlineLevel="0" collapsed="false">
      <c r="B15" s="0" t="s">
        <v>119</v>
      </c>
      <c r="C15" s="26" t="n">
        <f aca="false">IFERROR(SUM(C14:$L$14)/C5,0)</f>
        <v>1.13145104327763</v>
      </c>
      <c r="D15" s="26" t="n">
        <f aca="false">IFERROR(SUM(D14:$L$14)/D5,0)</f>
        <v>1.04193025165664</v>
      </c>
      <c r="E15" s="26" t="n">
        <f aca="false">IFERROR(SUM(E14:$L$14)/E5,0)</f>
        <v>0.955815533193485</v>
      </c>
      <c r="F15" s="26" t="n">
        <f aca="false">IFERROR(SUM(F14:$L$14)/F5,0)</f>
        <v>0.872163011467894</v>
      </c>
      <c r="G15" s="26" t="n">
        <f aca="false">IFERROR(SUM(G14:$L$14)/G5,0)</f>
        <v>0.789738567783675</v>
      </c>
      <c r="H15" s="26" t="n">
        <f aca="false">IFERROR(SUM(H14:$L$14)/H5,0)</f>
        <v>0.706788182178792</v>
      </c>
      <c r="I15" s="26" t="n">
        <f aca="false">IFERROR(SUM(I14:$L$14)/I5,0)</f>
        <v>0.620573300308629</v>
      </c>
      <c r="J15" s="26" t="n">
        <f aca="false">IFERROR(SUM(J14:$L$14)/J5,0)</f>
        <v>0.526330330744838</v>
      </c>
      <c r="K15" s="26" t="n">
        <f aca="false">IFERROR(SUM(K14:$L$14)/K5,0)</f>
        <v>0.414600758361692</v>
      </c>
      <c r="L15" s="26" t="n">
        <f aca="false">IFERROR(SUM(L14:$L$14)/L5,0)</f>
        <v>0.262896970228774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120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30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121</v>
      </c>
      <c r="C5" s="23" t="n">
        <f aca="false">'Debt Sculpting'!D10</f>
        <v>76.5019918518518</v>
      </c>
      <c r="D5" s="23" t="n">
        <f aca="false">'Debt Sculpting'!E10</f>
        <v>80.0112481518518</v>
      </c>
      <c r="E5" s="23" t="n">
        <f aca="false">'Debt Sculpting'!F10</f>
        <v>83.6784209853518</v>
      </c>
      <c r="F5" s="23" t="n">
        <f aca="false">'Debt Sculpting'!G10</f>
        <v>87.5106165963593</v>
      </c>
      <c r="G5" s="23" t="n">
        <f aca="false">'Debt Sculpting'!H10</f>
        <v>91.5152610098621</v>
      </c>
      <c r="H5" s="23" t="n">
        <f aca="false">'Debt Sculpting'!I10</f>
        <v>95.7001144219726</v>
      </c>
      <c r="I5" s="23" t="n">
        <f aca="false">'Debt Sculpting'!J10</f>
        <v>100.073286237628</v>
      </c>
      <c r="J5" s="23" t="n">
        <f aca="false">'Debt Sculpting'!K10</f>
        <v>104.643250784988</v>
      </c>
      <c r="K5" s="23" t="n">
        <f aca="false">'Debt Sculpting'!L10</f>
        <v>304.195103316625</v>
      </c>
      <c r="L5" s="23" t="n">
        <f aca="false">'Debt Sculpting'!L10</f>
        <v>304.195103316625</v>
      </c>
    </row>
    <row r="6" customFormat="false" ht="15" hidden="false" customHeight="false" outlineLevel="0" collapsed="false">
      <c r="B6" s="0" t="s">
        <v>122</v>
      </c>
      <c r="C6" s="23" t="n">
        <f aca="false">C5*Assumptions!$E$20/12</f>
        <v>38.2509959259259</v>
      </c>
      <c r="D6" s="23" t="n">
        <f aca="false">D5*Assumptions!$E$20/12</f>
        <v>40.0056240759259</v>
      </c>
      <c r="E6" s="23" t="n">
        <f aca="false">E5*Assumptions!$E$20/12</f>
        <v>41.8392104926759</v>
      </c>
      <c r="F6" s="23" t="n">
        <f aca="false">F5*Assumptions!$E$20/12</f>
        <v>43.7553082981797</v>
      </c>
      <c r="G6" s="23" t="n">
        <f aca="false">G5*Assumptions!$E$20/12</f>
        <v>45.7576305049311</v>
      </c>
      <c r="H6" s="23" t="n">
        <f aca="false">H5*Assumptions!$E$20/12</f>
        <v>47.8500572109863</v>
      </c>
      <c r="I6" s="23" t="n">
        <f aca="false">I5*Assumptions!$E$20/12</f>
        <v>50.036643118814</v>
      </c>
      <c r="J6" s="23" t="n">
        <f aca="false">J5*Assumptions!$E$20/12</f>
        <v>52.321625392494</v>
      </c>
      <c r="K6" s="23" t="n">
        <f aca="false">K5*Assumptions!$E$20/12</f>
        <v>152.097551658312</v>
      </c>
      <c r="L6" s="23" t="n">
        <f aca="false">L5*Assumptions!$E$20/12</f>
        <v>152.097551658312</v>
      </c>
    </row>
    <row r="7" customFormat="false" ht="15" hidden="false" customHeight="false" outlineLevel="0" collapsed="false">
      <c r="B7" s="0" t="s">
        <v>123</v>
      </c>
      <c r="C7" s="23" t="n">
        <f aca="false">C6</f>
        <v>38.2509959259259</v>
      </c>
      <c r="D7" s="23" t="n">
        <f aca="false">C9</f>
        <v>38.2509959259259</v>
      </c>
      <c r="E7" s="23" t="n">
        <f aca="false">D9</f>
        <v>40.0056240759259</v>
      </c>
      <c r="F7" s="23" t="n">
        <f aca="false">E9</f>
        <v>41.8392104926759</v>
      </c>
      <c r="G7" s="23" t="n">
        <f aca="false">F9</f>
        <v>43.7553082981797</v>
      </c>
      <c r="H7" s="23" t="n">
        <f aca="false">G9</f>
        <v>45.7576305049311</v>
      </c>
      <c r="I7" s="23" t="n">
        <f aca="false">H9</f>
        <v>47.8500572109863</v>
      </c>
      <c r="J7" s="23" t="n">
        <f aca="false">I9</f>
        <v>50.036643118814</v>
      </c>
      <c r="K7" s="23" t="n">
        <f aca="false">J9</f>
        <v>52.321625392494</v>
      </c>
      <c r="L7" s="23" t="n">
        <f aca="false">K9</f>
        <v>152.097551658312</v>
      </c>
    </row>
    <row r="8" customFormat="false" ht="15" hidden="false" customHeight="false" outlineLevel="0" collapsed="false">
      <c r="B8" s="0" t="s">
        <v>124</v>
      </c>
      <c r="C8" s="23" t="n">
        <f aca="false">C6-C7</f>
        <v>0</v>
      </c>
      <c r="D8" s="23" t="n">
        <f aca="false">D6-D7</f>
        <v>1.75462815</v>
      </c>
      <c r="E8" s="23" t="n">
        <f aca="false">E6-E7</f>
        <v>1.83358641675</v>
      </c>
      <c r="F8" s="23" t="n">
        <f aca="false">F6-F7</f>
        <v>1.91609780550373</v>
      </c>
      <c r="G8" s="23" t="n">
        <f aca="false">G6-G7</f>
        <v>2.00232220675143</v>
      </c>
      <c r="H8" s="23" t="n">
        <f aca="false">H6-H7</f>
        <v>2.09242670605523</v>
      </c>
      <c r="I8" s="23" t="n">
        <f aca="false">I6-I7</f>
        <v>2.18658590782771</v>
      </c>
      <c r="J8" s="23" t="n">
        <f aca="false">J6-J7</f>
        <v>2.28498227367996</v>
      </c>
      <c r="K8" s="23" t="n">
        <f aca="false">K6-K7</f>
        <v>99.7759262658183</v>
      </c>
      <c r="L8" s="23" t="n">
        <f aca="false">L6-L7</f>
        <v>0</v>
      </c>
    </row>
    <row r="9" customFormat="false" ht="15" hidden="false" customHeight="false" outlineLevel="0" collapsed="false">
      <c r="B9" s="0" t="s">
        <v>125</v>
      </c>
      <c r="C9" s="23" t="n">
        <f aca="false">C7+C8</f>
        <v>38.2509959259259</v>
      </c>
      <c r="D9" s="23" t="n">
        <f aca="false">D7+D8</f>
        <v>40.0056240759259</v>
      </c>
      <c r="E9" s="23" t="n">
        <f aca="false">E7+E8</f>
        <v>41.8392104926759</v>
      </c>
      <c r="F9" s="23" t="n">
        <f aca="false">F7+F8</f>
        <v>43.7553082981797</v>
      </c>
      <c r="G9" s="23" t="n">
        <f aca="false">G7+G8</f>
        <v>45.7576305049311</v>
      </c>
      <c r="H9" s="23" t="n">
        <f aca="false">H7+H8</f>
        <v>47.8500572109863</v>
      </c>
      <c r="I9" s="23" t="n">
        <f aca="false">I7+I8</f>
        <v>50.036643118814</v>
      </c>
      <c r="J9" s="23" t="n">
        <f aca="false">J7+J8</f>
        <v>52.321625392494</v>
      </c>
      <c r="K9" s="23" t="n">
        <f aca="false">K7+K8</f>
        <v>152.097551658312</v>
      </c>
      <c r="L9" s="23" t="n">
        <f aca="false">L7+L8</f>
        <v>152.097551658312</v>
      </c>
    </row>
    <row r="10" customFormat="false" ht="15" hidden="false" customHeight="false" outlineLevel="0" collapsed="false">
      <c r="B10" s="0" t="s">
        <v>126</v>
      </c>
      <c r="C10" s="23" t="n">
        <f aca="false">IF(COLUMN()=3,C7,0)</f>
        <v>38.2509959259259</v>
      </c>
      <c r="D10" s="23" t="n">
        <f aca="false">IF(COLUMN()=3,D7,0)</f>
        <v>0</v>
      </c>
      <c r="E10" s="23" t="n">
        <f aca="false">IF(COLUMN()=3,E7,0)</f>
        <v>0</v>
      </c>
      <c r="F10" s="23" t="n">
        <f aca="false">IF(COLUMN()=3,F7,0)</f>
        <v>0</v>
      </c>
      <c r="G10" s="23" t="n">
        <f aca="false">IF(COLUMN()=3,G7,0)</f>
        <v>0</v>
      </c>
      <c r="H10" s="23" t="n">
        <f aca="false">IF(COLUMN()=3,H7,0)</f>
        <v>0</v>
      </c>
      <c r="I10" s="23" t="n">
        <f aca="false">IF(COLUMN()=3,I7,0)</f>
        <v>0</v>
      </c>
      <c r="J10" s="23" t="n">
        <f aca="false">IF(COLUMN()=3,J7,0)</f>
        <v>0</v>
      </c>
      <c r="K10" s="23" t="n">
        <f aca="false">IF(COLUMN()=3,K7,0)</f>
        <v>0</v>
      </c>
      <c r="L10" s="2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127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128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</row>
    <row r="5" customFormat="false" ht="15" hidden="false" customHeight="false" outlineLevel="0" collapsed="false">
      <c r="B5" s="0" t="s">
        <v>116</v>
      </c>
      <c r="C5" s="26" t="n">
        <f aca="false">'Debt Sculpting'!C12</f>
        <v>1.35</v>
      </c>
      <c r="D5" s="26" t="n">
        <f aca="false">'Debt Sculpting'!D12</f>
        <v>1.35</v>
      </c>
      <c r="E5" s="26" t="n">
        <f aca="false">'Debt Sculpting'!E12</f>
        <v>1.35</v>
      </c>
      <c r="F5" s="26" t="n">
        <f aca="false">'Debt Sculpting'!F12</f>
        <v>1.35</v>
      </c>
      <c r="G5" s="26" t="n">
        <f aca="false">'Debt Sculpting'!G12</f>
        <v>1.35</v>
      </c>
      <c r="H5" s="26" t="n">
        <f aca="false">'Debt Sculpting'!H12</f>
        <v>1.35</v>
      </c>
      <c r="I5" s="26" t="n">
        <f aca="false">'Debt Sculpting'!I12</f>
        <v>1.35</v>
      </c>
      <c r="J5" s="26" t="n">
        <f aca="false">'Debt Sculpting'!J12</f>
        <v>1.35</v>
      </c>
      <c r="K5" s="26" t="n">
        <f aca="false">'Debt Sculpting'!K12</f>
        <v>1.35</v>
      </c>
      <c r="L5" s="26" t="n">
        <f aca="false">'Debt Sculpting'!L12</f>
        <v>0.485594489965115</v>
      </c>
    </row>
    <row r="6" customFormat="false" ht="15" hidden="false" customHeight="false" outlineLevel="0" collapsed="false">
      <c r="B6" s="0" t="s">
        <v>129</v>
      </c>
      <c r="C6" s="26" t="n">
        <f aca="false">Assumptions!$E$17</f>
        <v>1.2</v>
      </c>
      <c r="D6" s="26" t="n">
        <f aca="false">Assumptions!$E$17</f>
        <v>1.2</v>
      </c>
      <c r="E6" s="26" t="n">
        <f aca="false">Assumptions!$E$17</f>
        <v>1.2</v>
      </c>
      <c r="F6" s="26" t="n">
        <f aca="false">Assumptions!$E$17</f>
        <v>1.2</v>
      </c>
      <c r="G6" s="26" t="n">
        <f aca="false">Assumptions!$E$17</f>
        <v>1.2</v>
      </c>
      <c r="H6" s="26" t="n">
        <f aca="false">Assumptions!$E$17</f>
        <v>1.2</v>
      </c>
      <c r="I6" s="26" t="n">
        <f aca="false">Assumptions!$E$17</f>
        <v>1.2</v>
      </c>
      <c r="J6" s="26" t="n">
        <f aca="false">Assumptions!$E$17</f>
        <v>1.2</v>
      </c>
      <c r="K6" s="26" t="n">
        <f aca="false">Assumptions!$E$17</f>
        <v>1.2</v>
      </c>
      <c r="L6" s="26" t="n">
        <f aca="false">Assumptions!$E$17</f>
        <v>1.2</v>
      </c>
    </row>
    <row r="7" customFormat="false" ht="15" hidden="false" customHeight="false" outlineLevel="0" collapsed="false">
      <c r="B7" s="0" t="s">
        <v>130</v>
      </c>
      <c r="C7" s="26" t="n">
        <f aca="false">C5-C6</f>
        <v>0.15</v>
      </c>
      <c r="D7" s="26" t="n">
        <f aca="false">D5-D6</f>
        <v>0.15</v>
      </c>
      <c r="E7" s="26" t="n">
        <f aca="false">E5-E6</f>
        <v>0.15</v>
      </c>
      <c r="F7" s="26" t="n">
        <f aca="false">F5-F6</f>
        <v>0.15</v>
      </c>
      <c r="G7" s="26" t="n">
        <f aca="false">G5-G6</f>
        <v>0.15</v>
      </c>
      <c r="H7" s="26" t="n">
        <f aca="false">H5-H6</f>
        <v>0.15</v>
      </c>
      <c r="I7" s="26" t="n">
        <f aca="false">I5-I6</f>
        <v>0.15</v>
      </c>
      <c r="J7" s="26" t="n">
        <f aca="false">J5-J6</f>
        <v>0.15</v>
      </c>
      <c r="K7" s="26" t="n">
        <f aca="false">K5-K6</f>
        <v>0.15</v>
      </c>
      <c r="L7" s="26" t="n">
        <f aca="false">L5-L6</f>
        <v>-0.714405510034885</v>
      </c>
    </row>
    <row r="8" customFormat="false" ht="15" hidden="false" customHeight="false" outlineLevel="0" collapsed="false">
      <c r="B8" s="0" t="s">
        <v>131</v>
      </c>
      <c r="C8" s="26" t="n">
        <f aca="false">'Debt Sculpting'!C15</f>
        <v>1.13145104327763</v>
      </c>
      <c r="D8" s="26" t="n">
        <f aca="false">'Debt Sculpting'!D15</f>
        <v>1.04193025165664</v>
      </c>
      <c r="E8" s="26" t="n">
        <f aca="false">'Debt Sculpting'!E15</f>
        <v>0.955815533193485</v>
      </c>
      <c r="F8" s="26" t="n">
        <f aca="false">'Debt Sculpting'!F15</f>
        <v>0.872163011467894</v>
      </c>
      <c r="G8" s="26" t="n">
        <f aca="false">'Debt Sculpting'!G15</f>
        <v>0.789738567783675</v>
      </c>
      <c r="H8" s="26" t="n">
        <f aca="false">'Debt Sculpting'!H15</f>
        <v>0.706788182178792</v>
      </c>
      <c r="I8" s="26" t="n">
        <f aca="false">'Debt Sculpting'!I15</f>
        <v>0.620573300308629</v>
      </c>
      <c r="J8" s="26" t="n">
        <f aca="false">'Debt Sculpting'!J15</f>
        <v>0.526330330744838</v>
      </c>
      <c r="K8" s="26" t="n">
        <f aca="false">'Debt Sculpting'!K15</f>
        <v>0.414600758361692</v>
      </c>
      <c r="L8" s="26" t="n">
        <f aca="false">'Debt Sculpting'!L15</f>
        <v>0.262896970228774</v>
      </c>
    </row>
    <row r="9" customFormat="false" ht="15" hidden="false" customHeight="false" outlineLevel="0" collapsed="false">
      <c r="B9" s="0" t="s">
        <v>132</v>
      </c>
      <c r="C9" s="26" t="n">
        <f aca="false">IFERROR(SUM('Debt Sculpting'!C14:$L$14)/'Debt Sculpting'!C5,0)</f>
        <v>1.13145104327763</v>
      </c>
      <c r="D9" s="26" t="n">
        <f aca="false">IFERROR(SUM('Debt Sculpting'!D14:$L$14)/'Debt Sculpting'!D5,0)</f>
        <v>1.04193025165664</v>
      </c>
      <c r="E9" s="26" t="n">
        <f aca="false">IFERROR(SUM('Debt Sculpting'!E14:$L$14)/'Debt Sculpting'!E5,0)</f>
        <v>0.955815533193485</v>
      </c>
      <c r="F9" s="26" t="n">
        <f aca="false">IFERROR(SUM('Debt Sculpting'!F14:$L$14)/'Debt Sculpting'!F5,0)</f>
        <v>0.872163011467894</v>
      </c>
      <c r="G9" s="26" t="n">
        <f aca="false">IFERROR(SUM('Debt Sculpting'!G14:$L$14)/'Debt Sculpting'!G5,0)</f>
        <v>0.789738567783675</v>
      </c>
      <c r="H9" s="26" t="n">
        <f aca="false">IFERROR(SUM('Debt Sculpting'!H14:$L$14)/'Debt Sculpting'!H5,0)</f>
        <v>0.706788182178792</v>
      </c>
      <c r="I9" s="26" t="n">
        <f aca="false">IFERROR(SUM('Debt Sculpting'!I14:$L$14)/'Debt Sculpting'!I5,0)</f>
        <v>0.620573300308629</v>
      </c>
      <c r="J9" s="26" t="n">
        <f aca="false">IFERROR(SUM('Debt Sculpting'!J14:$L$14)/'Debt Sculpting'!J5,0)</f>
        <v>0.526330330744838</v>
      </c>
      <c r="K9" s="26" t="n">
        <f aca="false">IFERROR(SUM('Debt Sculpting'!K14:$L$14)/'Debt Sculpting'!K5,0)</f>
        <v>0.414600758361692</v>
      </c>
      <c r="L9" s="26" t="n">
        <f aca="false">IFERROR(SUM('Debt Sculpting'!L14:$L$14)/'Debt Sculpting'!L5,0)</f>
        <v>0.262896970228774</v>
      </c>
    </row>
    <row r="10" customFormat="false" ht="15" hidden="false" customHeight="false" outlineLevel="0" collapsed="false">
      <c r="B10" s="0" t="s">
        <v>133</v>
      </c>
      <c r="C10" s="26" t="n">
        <f aca="false">IFERROR('Debt Sculpting'!C9/Operations!C8,0)</f>
        <v>5.66586327151967</v>
      </c>
      <c r="D10" s="26" t="n">
        <f aca="false">IFERROR('Debt Sculpting'!D9/Operations!D8,0)</f>
        <v>5.19195669672803</v>
      </c>
      <c r="E10" s="26" t="n">
        <f aca="false">IFERROR('Debt Sculpting'!E9/Operations!E8,0)</f>
        <v>4.70849451644614</v>
      </c>
      <c r="F10" s="26" t="n">
        <f aca="false">IFERROR('Debt Sculpting'!F9/Operations!F8,0)</f>
        <v>4.21531476027598</v>
      </c>
      <c r="G10" s="26" t="n">
        <f aca="false">IFERROR('Debt Sculpting'!G9/Operations!G8,0)</f>
        <v>3.71225145739073</v>
      </c>
      <c r="H10" s="26" t="n">
        <f aca="false">IFERROR('Debt Sculpting'!H9/Operations!H8,0)</f>
        <v>3.19913459874973</v>
      </c>
      <c r="I10" s="26" t="n">
        <f aca="false">IFERROR('Debt Sculpting'!I9/Operations!I8,0)</f>
        <v>2.67579009692048</v>
      </c>
      <c r="J10" s="26" t="n">
        <f aca="false">IFERROR('Debt Sculpting'!J9/Operations!J8,0)</f>
        <v>2.14203974353368</v>
      </c>
      <c r="K10" s="26" t="n">
        <f aca="false">IFERROR('Debt Sculpting'!K9/Operations!K8,0)</f>
        <v>1.59770116439488</v>
      </c>
      <c r="L10" s="26" t="n">
        <f aca="false">IFERROR('Debt Sculpting'!L9/Operations!L8,0)</f>
        <v>0</v>
      </c>
    </row>
    <row r="11" customFormat="false" ht="15" hidden="false" customHeight="false" outlineLevel="0" collapsed="false">
      <c r="B11" s="0" t="s">
        <v>134</v>
      </c>
      <c r="C11" s="26" t="n">
        <f aca="false">IFERROR(DSRA!C9/DSRA!C6,0)</f>
        <v>1</v>
      </c>
      <c r="D11" s="26" t="n">
        <f aca="false">IFERROR(DSRA!D9/DSRA!D6,0)</f>
        <v>1</v>
      </c>
      <c r="E11" s="26" t="n">
        <f aca="false">IFERROR(DSRA!E9/DSRA!E6,0)</f>
        <v>1</v>
      </c>
      <c r="F11" s="26" t="n">
        <f aca="false">IFERROR(DSRA!F9/DSRA!F6,0)</f>
        <v>1</v>
      </c>
      <c r="G11" s="26" t="n">
        <f aca="false">IFERROR(DSRA!G9/DSRA!G6,0)</f>
        <v>1</v>
      </c>
      <c r="H11" s="26" t="n">
        <f aca="false">IFERROR(DSRA!H9/DSRA!H6,0)</f>
        <v>1</v>
      </c>
      <c r="I11" s="26" t="n">
        <f aca="false">IFERROR(DSRA!I9/DSRA!I6,0)</f>
        <v>1</v>
      </c>
      <c r="J11" s="26" t="n">
        <f aca="false">IFERROR(DSRA!J9/DSRA!J6,0)</f>
        <v>1</v>
      </c>
      <c r="K11" s="26" t="n">
        <f aca="false">IFERROR(DSRA!K9/DSRA!K6,0)</f>
        <v>1</v>
      </c>
      <c r="L11" s="26" t="n">
        <f aca="false">IFERROR(DSRA!L9/DSRA!L6,0)</f>
        <v>1</v>
      </c>
    </row>
    <row r="12" customFormat="false" ht="15" hidden="false" customHeight="false" outlineLevel="0" collapsed="false">
      <c r="B12" s="0" t="s">
        <v>135</v>
      </c>
      <c r="C12" s="0" t="str">
        <f aca="false">IF(AND(C7&gt;=0,C8&gt;=1,C11&gt;=1),"PASS","BREACH")</f>
        <v>PASS</v>
      </c>
      <c r="D12" s="0" t="str">
        <f aca="false">IF(AND(D7&gt;=0,D8&gt;=1,D11&gt;=1),"PASS","BREACH")</f>
        <v>PASS</v>
      </c>
      <c r="E12" s="0" t="str">
        <f aca="false">IF(AND(E7&gt;=0,E8&gt;=1,E11&gt;=1),"PASS","BREACH")</f>
        <v>BREACH</v>
      </c>
      <c r="F12" s="0" t="str">
        <f aca="false">IF(AND(F7&gt;=0,F8&gt;=1,F11&gt;=1),"PASS","BREACH")</f>
        <v>BREACH</v>
      </c>
      <c r="G12" s="0" t="str">
        <f aca="false">IF(AND(G7&gt;=0,G8&gt;=1,G11&gt;=1),"PASS","BREACH")</f>
        <v>BREACH</v>
      </c>
      <c r="H12" s="0" t="str">
        <f aca="false">IF(AND(H7&gt;=0,H8&gt;=1,H11&gt;=1),"PASS","BREACH")</f>
        <v>BREACH</v>
      </c>
      <c r="I12" s="0" t="str">
        <f aca="false">IF(AND(I7&gt;=0,I8&gt;=1,I11&gt;=1),"PASS","BREACH")</f>
        <v>BREACH</v>
      </c>
      <c r="J12" s="0" t="str">
        <f aca="false">IF(AND(J7&gt;=0,J8&gt;=1,J11&gt;=1),"PASS","BREACH")</f>
        <v>BREACH</v>
      </c>
      <c r="K12" s="0" t="str">
        <f aca="false">IF(AND(K7&gt;=0,K8&gt;=1,K11&gt;=1),"PASS","BREACH")</f>
        <v>BREACH</v>
      </c>
      <c r="L12" s="0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136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137</v>
      </c>
      <c r="C4" s="28" t="n">
        <v>0.22</v>
      </c>
      <c r="D4" s="28" t="n">
        <v>0.28</v>
      </c>
      <c r="E4" s="28" t="n">
        <v>0.34</v>
      </c>
      <c r="F4" s="28" t="n">
        <v>0.4</v>
      </c>
      <c r="G4" s="28" t="n">
        <v>0.46</v>
      </c>
    </row>
    <row r="5" customFormat="false" ht="15" hidden="false" customHeight="false" outlineLevel="0" collapsed="false">
      <c r="B5" s="22" t="n">
        <v>0</v>
      </c>
      <c r="C5" s="2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0.557350297946301</v>
      </c>
      <c r="D5" s="2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0.504588674430723</v>
      </c>
      <c r="E5" s="2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0.451827050915145</v>
      </c>
      <c r="F5" s="2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0.399065427399568</v>
      </c>
      <c r="G5" s="2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0.34630380388399</v>
      </c>
    </row>
    <row r="6" customFormat="false" ht="15" hidden="false" customHeight="false" outlineLevel="0" collapsed="false">
      <c r="B6" s="22" t="n">
        <v>0.05</v>
      </c>
      <c r="C6" s="2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0.523055242661175</v>
      </c>
      <c r="D6" s="2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0.472931700321377</v>
      </c>
      <c r="E6" s="2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0.422808157981578</v>
      </c>
      <c r="F6" s="2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0.372684615641779</v>
      </c>
      <c r="G6" s="2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0.32256107330198</v>
      </c>
    </row>
    <row r="7" customFormat="false" ht="15" hidden="false" customHeight="false" outlineLevel="0" collapsed="false">
      <c r="B7" s="22" t="n">
        <v>0.1</v>
      </c>
      <c r="C7" s="2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0.48876018737605</v>
      </c>
      <c r="D7" s="2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0.44127472621203</v>
      </c>
      <c r="E7" s="2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0.39378926504801</v>
      </c>
      <c r="F7" s="2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0.34630380388399</v>
      </c>
      <c r="G7" s="2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0.298818342719971</v>
      </c>
    </row>
    <row r="8" customFormat="false" ht="15" hidden="false" customHeight="false" outlineLevel="0" collapsed="false">
      <c r="B8" s="22" t="n">
        <v>0.15</v>
      </c>
      <c r="C8" s="2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0.454465132090924</v>
      </c>
      <c r="D8" s="2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0.409617752102684</v>
      </c>
      <c r="E8" s="2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0.364770372114442</v>
      </c>
      <c r="F8" s="2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0.319922992126202</v>
      </c>
      <c r="G8" s="2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0.275075612137961</v>
      </c>
    </row>
    <row r="9" customFormat="false" ht="15" hidden="false" customHeight="false" outlineLevel="0" collapsed="false">
      <c r="B9" s="22" t="n">
        <v>0.2</v>
      </c>
      <c r="C9" s="2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0.420170076805799</v>
      </c>
      <c r="D9" s="2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0.377960777993337</v>
      </c>
      <c r="E9" s="2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0.335751479180875</v>
      </c>
      <c r="F9" s="2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0.293542180368413</v>
      </c>
      <c r="G9" s="2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0.251332881555951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138</v>
      </c>
      <c r="C2" s="1"/>
    </row>
    <row r="4" customFormat="false" ht="15" hidden="false" customHeight="false" outlineLevel="0" collapsed="false">
      <c r="B4" s="8" t="s">
        <v>139</v>
      </c>
      <c r="C4" s="8" t="s">
        <v>140</v>
      </c>
    </row>
    <row r="5" customFormat="false" ht="15" hidden="false" customHeight="false" outlineLevel="0" collapsed="false">
      <c r="B5" s="0" t="s">
        <v>141</v>
      </c>
      <c r="C5" s="0" t="str">
        <f aca="false">IF(ABS(Construction!M5-1)&lt;0.000001,"PASS","FAIL")</f>
        <v>PASS</v>
      </c>
    </row>
    <row r="6" customFormat="false" ht="15" hidden="false" customHeight="false" outlineLevel="0" collapsed="false">
      <c r="B6" s="0" t="s">
        <v>142</v>
      </c>
      <c r="C6" s="0" t="str">
        <f aca="false">IF(ABS('Sources &amp; Uses'!F9)&lt;0.000001,"PASS","FAIL")</f>
        <v>PASS</v>
      </c>
    </row>
    <row r="7" customFormat="false" ht="15" hidden="false" customHeight="false" outlineLevel="0" collapsed="false">
      <c r="B7" s="0" t="s">
        <v>143</v>
      </c>
      <c r="C7" s="0" t="str">
        <f aca="false">IF(MIN('Debt Sculpting'!C9:L9)&gt;=0,"PASS","FAIL")</f>
        <v>PASS</v>
      </c>
    </row>
    <row r="8" customFormat="false" ht="15" hidden="false" customHeight="false" outlineLevel="0" collapsed="false">
      <c r="B8" s="0" t="s">
        <v>144</v>
      </c>
      <c r="C8" s="0" t="str">
        <f aca="false">IF(MIN(Coverage!C7:L7)&gt;=0,"PASS","REVIEW")</f>
        <v>REVIEW</v>
      </c>
    </row>
    <row r="9" customFormat="false" ht="15" hidden="false" customHeight="false" outlineLevel="0" collapsed="false">
      <c r="B9" s="0" t="s">
        <v>145</v>
      </c>
      <c r="C9" s="0" t="str">
        <f aca="false">IF(MIN(Coverage!C11:L11)&gt;=1,"PASS","REVIEW")</f>
        <v>PASS</v>
      </c>
    </row>
    <row r="10" customFormat="false" ht="15" hidden="false" customHeight="false" outlineLevel="0" collapsed="false">
      <c r="B10" s="0" t="s">
        <v>146</v>
      </c>
      <c r="C10" s="0" t="str">
        <f aca="false">IF(MIN(Coverage!C8:L8)&gt;0,"PASS","FAIL")</f>
        <v>PASS</v>
      </c>
    </row>
    <row r="11" customFormat="false" ht="15" hidden="false" customHeight="false" outlineLevel="0" collapsed="false">
      <c r="B11" s="0" t="s">
        <v>147</v>
      </c>
      <c r="C11" s="0" t="str">
        <f aca="false">IF('Debt Sculpting'!L9&lt;0.000001,"PASS","REVIEW")</f>
        <v>PASS</v>
      </c>
    </row>
    <row r="12" customFormat="false" ht="15" hidden="false" customHeight="false" outlineLevel="0" collapsed="false">
      <c r="B12" s="0" t="s">
        <v>148</v>
      </c>
      <c r="C12" s="0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</row>
    <row r="4" customFormat="false" ht="15" hidden="false" customHeight="false" outlineLevel="0" collapsed="false">
      <c r="B4" s="8" t="s">
        <v>150</v>
      </c>
      <c r="C4" s="8" t="s">
        <v>151</v>
      </c>
      <c r="D4" s="8" t="s">
        <v>152</v>
      </c>
      <c r="E4" s="8" t="s">
        <v>153</v>
      </c>
    </row>
    <row r="5" customFormat="false" ht="15" hidden="false" customHeight="false" outlineLevel="0" collapsed="false">
      <c r="B5" s="29" t="s">
        <v>154</v>
      </c>
      <c r="C5" s="29" t="s">
        <v>155</v>
      </c>
      <c r="D5" s="29" t="s">
        <v>8</v>
      </c>
      <c r="E5" s="29" t="s">
        <v>156</v>
      </c>
    </row>
    <row r="6" customFormat="false" ht="15" hidden="false" customHeight="false" outlineLevel="0" collapsed="false">
      <c r="B6" s="29" t="s">
        <v>157</v>
      </c>
      <c r="C6" s="29" t="s">
        <v>158</v>
      </c>
      <c r="D6" s="29" t="s">
        <v>8</v>
      </c>
      <c r="E6" s="29" t="s">
        <v>159</v>
      </c>
    </row>
    <row r="7" customFormat="false" ht="15" hidden="false" customHeight="false" outlineLevel="0" collapsed="false">
      <c r="B7" s="29" t="s">
        <v>160</v>
      </c>
      <c r="C7" s="29" t="s">
        <v>161</v>
      </c>
      <c r="D7" s="29" t="s">
        <v>8</v>
      </c>
      <c r="E7" s="29" t="s">
        <v>162</v>
      </c>
    </row>
    <row r="8" customFormat="false" ht="15" hidden="false" customHeight="false" outlineLevel="0" collapsed="false">
      <c r="B8" s="29" t="s">
        <v>163</v>
      </c>
      <c r="C8" s="29" t="s">
        <v>164</v>
      </c>
      <c r="D8" s="29" t="s">
        <v>8</v>
      </c>
      <c r="E8" s="29" t="s">
        <v>165</v>
      </c>
    </row>
    <row r="9" customFormat="false" ht="15" hidden="false" customHeight="false" outlineLevel="0" collapsed="false">
      <c r="B9" s="29" t="s">
        <v>166</v>
      </c>
      <c r="C9" s="29" t="s">
        <v>167</v>
      </c>
      <c r="D9" s="29" t="s">
        <v>8</v>
      </c>
      <c r="E9" s="29" t="s">
        <v>168</v>
      </c>
    </row>
    <row r="10" customFormat="false" ht="15" hidden="false" customHeight="false" outlineLevel="0" collapsed="false">
      <c r="B10" s="29" t="s">
        <v>169</v>
      </c>
      <c r="C10" s="29" t="s">
        <v>170</v>
      </c>
      <c r="D10" s="29" t="s">
        <v>8</v>
      </c>
      <c r="E10" s="29" t="s">
        <v>171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172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173</v>
      </c>
      <c r="C4" s="8" t="s">
        <v>174</v>
      </c>
      <c r="D4" s="8" t="s">
        <v>175</v>
      </c>
      <c r="E4" s="8" t="s">
        <v>176</v>
      </c>
      <c r="F4" s="8" t="s">
        <v>177</v>
      </c>
      <c r="G4" s="8" t="s">
        <v>178</v>
      </c>
    </row>
    <row r="5" customFormat="false" ht="15" hidden="false" customHeight="false" outlineLevel="0" collapsed="false">
      <c r="B5" s="30"/>
      <c r="C5" s="30"/>
      <c r="D5" s="30"/>
      <c r="E5" s="30"/>
      <c r="F5" s="30"/>
      <c r="G5" s="30"/>
    </row>
    <row r="6" customFormat="false" ht="15" hidden="false" customHeight="false" outlineLevel="0" collapsed="false">
      <c r="B6" s="30"/>
      <c r="C6" s="30"/>
      <c r="D6" s="30"/>
      <c r="E6" s="30"/>
      <c r="F6" s="30"/>
      <c r="G6" s="30"/>
    </row>
    <row r="7" customFormat="false" ht="15" hidden="false" customHeight="false" outlineLevel="0" collapsed="false">
      <c r="B7" s="30"/>
      <c r="C7" s="30"/>
      <c r="D7" s="30"/>
      <c r="E7" s="30"/>
      <c r="F7" s="30"/>
      <c r="G7" s="30"/>
    </row>
    <row r="8" customFormat="false" ht="15" hidden="false" customHeight="false" outlineLevel="0" collapsed="false">
      <c r="B8" s="30"/>
      <c r="C8" s="30"/>
      <c r="D8" s="30"/>
      <c r="E8" s="30"/>
      <c r="F8" s="30"/>
      <c r="G8" s="30"/>
    </row>
    <row r="9" customFormat="false" ht="15" hidden="false" customHeight="false" outlineLevel="0" collapsed="false">
      <c r="B9" s="30"/>
      <c r="C9" s="30"/>
      <c r="D9" s="30"/>
      <c r="E9" s="30"/>
      <c r="F9" s="30"/>
      <c r="G9" s="30"/>
    </row>
    <row r="10" customFormat="false" ht="15" hidden="false" customHeight="fals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fals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fals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fals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fals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fals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fals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fals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fals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fals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fals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fals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fals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fals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fals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fals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fals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2026-08-04T02:31:13Z</dcterms:created>
  <dc:creator>openpyxl</dc:creator>
  <dc:description/>
  <dc:language>en-US</dc:language>
  <cp:lastModifiedBy/>
  <dcterms:modified xsi:type="dcterms:W3CDTF">2026-08-04T02:31:13Z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