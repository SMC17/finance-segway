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Construction" sheetId="6" state="visible" r:id="rId8"/>
    <sheet name="Sources &amp; Uses" sheetId="7" state="visible" r:id="rId9"/>
    <sheet name="Operations" sheetId="8" state="visible" r:id="rId10"/>
    <sheet name="Debt Sculpting" sheetId="9" state="visible" r:id="rId11"/>
    <sheet name="DSRA" sheetId="10" state="visible" r:id="rId12"/>
    <sheet name="Coverage" sheetId="11" state="visible" r:id="rId13"/>
    <sheet name="Sensitivity" sheetId="12" state="visible" r:id="rId14"/>
    <sheet name="Checks" sheetId="13" state="visible" r:id="rId15"/>
    <sheet name="Sources" sheetId="14" state="visible" r:id="rId16"/>
    <sheet name="RefreshLog" sheetId="15" state="visible" r:id="rId17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<sst xmlns="http://schemas.openxmlformats.org/spreadsheetml/2006/main" count="420" uniqueCount="282">
  <si>
    <t xml:space="preserve">[PROJECT] — Project Finance Model</t>
  </si>
  <si>
    <t xml:space="preserve">Project / concession:</t>
  </si>
  <si>
    <t xml:space="preserve">Adversarial Delay and Availability Case</t>
  </si>
  <si>
    <t xml:space="preserve">Sector / jurisdiction:</t>
  </si>
  <si>
    <t xml:space="preserve">Power / transport / digital / PPP</t>
  </si>
  <si>
    <t xml:space="preserve">Financial close / COD:</t>
  </si>
  <si>
    <t xml:space="preserve">[dates]</t>
  </si>
  <si>
    <t xml:space="preserve">Last refreshed:</t>
  </si>
  <si>
    <t xml:space="preserve">2026-08-03</t>
  </si>
  <si>
    <t xml:space="preserve">Refresh cadence:</t>
  </si>
  <si>
    <t xml:space="preserve">Weekly construction; monthly operations</t>
  </si>
  <si>
    <t xml:space="preserve">Active scenario:</t>
  </si>
  <si>
    <t xml:space="preserve">Downside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</si>
  <si>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</si>
  <si>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</si>
  <si>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</si>
  <si>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</si>
  <si>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</si>
  <si>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</si>
  <si>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</si>
  <si>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</si>
  <si>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</si>
  <si>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</si>
  <si>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</si>
  <si>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Project Finance — Institutional Decision Surface</t>
  </si>
  <si>
    <t xml:space="preserve">Model ID</t>
  </si>
  <si>
    <t xml:space="preserve">20</t>
  </si>
  <si>
    <t xml:space="preserve">Domain</t>
  </si>
  <si>
    <t xml:space="preserve">Project Finance</t>
  </si>
  <si>
    <t xml:space="preserve">Declared maturity</t>
  </si>
  <si>
    <t xml:space="preserve">M2</t>
  </si>
  <si>
    <t xml:space="preserve">Canonical builder</t>
  </si>
  <si>
    <t xml:space="preserve">tools/builders/build_project_finance_release.py</t>
  </si>
  <si>
    <t xml:space="preserve">Decision arena</t>
  </si>
  <si>
    <t xml:space="preserve">sponsor, lender, technical adviser, offtaker, insurer and investment committee</t>
  </si>
  <si>
    <t xml:space="preserve">Committee artifact</t>
  </si>
  <si>
    <t xml:space="preserve">bank case, downside case and financing base-case pack</t>
  </si>
  <si>
    <t xml:space="preserve">Operating cadence</t>
  </si>
  <si>
    <t xml:space="preserve">monthly construction/operations; quarterly lender; annual model audit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</si>
  <si>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</si>
  <si>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</si>
  <si>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</si>
  <si>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</si>
  <si>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</si>
  <si>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</si>
  <si>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construction funding and IDC</t>
  </si>
  <si>
    <t xml:space="preserve">OPEN</t>
  </si>
  <si>
    <t xml:space="preserve">operating CFADS</t>
  </si>
  <si>
    <t xml:space="preserve">debt sculpting and DSRA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</si>
  <si>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</si>
  <si>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</si>
  <si>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</si>
  <si>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is the lender's base case versus sponsor case?</t>
  </si>
  <si>
    <t xml:space="preserve">Which completion tests release support?</t>
  </si>
  <si>
    <t xml:space="preserve">What cash is trapped before distributions?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</si>
  <si>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</si>
  <si>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</si>
  <si>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</si>
  <si>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delay and cost overrun</t>
  </si>
  <si>
    <t xml:space="preserve">volume / resource shortfall</t>
  </si>
  <si>
    <t xml:space="preserve">price / offtaker stress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</si>
  <si>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</si>
  <si>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</si>
  <si>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</si>
  <si>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EPC and O&amp;M contracts</t>
  </si>
  <si>
    <t xml:space="preserve">offtake / concession agreement</t>
  </si>
  <si>
    <t xml:space="preserve">independent engineer report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</si>
  <si>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</si>
  <si>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</si>
  <si>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</si>
  <si>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sources equal uses</t>
  </si>
  <si>
    <t xml:space="preserve">construction draws conserve cost</t>
  </si>
  <si>
    <t xml:space="preserve">IDC follows funded debt timing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</si>
  <si>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</si>
  <si>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</si>
  <si>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</si>
  <si>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using sponsor schedule instead of engineer schedule</t>
  </si>
  <si>
    <t xml:space="preserve">assuming liquidated damages are fully collectible</t>
  </si>
  <si>
    <t xml:space="preserve">sizing debt on P50 while downside is P90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</si>
  <si>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</si>
  <si>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</si>
  <si>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</si>
  <si>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</si>
  <si>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</si>
  <si>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</si>
  <si>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</si>
  <si>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</si>
  <si>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</si>
  <si>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</si>
  <si>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</si>
  <si>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</si>
  <si>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World Bank PPP Reference Guide</t>
  </si>
  <si>
    <t xml:space="preserve">project preparation and risk allocation</t>
  </si>
  <si>
    <t xml:space="preserve">https://ppp.worldbank.org/public-private-partnership/library/ppp-reference-guide-3-0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</si>
  <si>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</si>
  <si>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</si>
  <si>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</si>
  <si>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</si>
  <si>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</si>
  <si>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</si>
  <si>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</si>
  <si>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</si>
  <si>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</si>
  <si>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</si>
  <si>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</si>
  <si>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</si>
  <si>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</si>
  <si>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</si>
  <si>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</si>
  <si>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</si>
  <si>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construction progress</t>
  </si>
  <si>
    <t xml:space="preserve">monthly</t>
  </si>
  <si>
    <t xml:space="preserve">engineer-certified progress and cost</t>
  </si>
  <si>
    <t xml:space="preserve">TO MAP</t>
  </si>
  <si>
    <t xml:space="preserve">operating data</t>
  </si>
  <si>
    <t xml:space="preserve">meter / volume and invoice tie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</si>
  <si>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</si>
  <si>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</si>
  <si>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</si>
  <si>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</si>
  <si>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</si>
  <si>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</si>
  <si>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Project Assumptions</t>
  </si>
  <si>
    <t xml:space="preserve">Assumption</t>
  </si>
  <si>
    <t xml:space="preserve">Base</t>
  </si>
  <si>
    <t xml:space="preserve">Active</t>
  </si>
  <si>
    <t xml:space="preserve">Units / note</t>
  </si>
  <si>
    <t xml:space="preserve">EPC / hard construction cost</t>
  </si>
  <si>
    <t xml:space="preserve">$mm</t>
  </si>
  <si>
    <t xml:space="preserve">Development and owner costs</t>
  </si>
  <si>
    <t xml:space="preserve">Contingency / hard cost</t>
  </si>
  <si>
    <t xml:space="preserve">%</t>
  </si>
  <si>
    <t xml:space="preserve">Debt share of pre-IDC cost</t>
  </si>
  <si>
    <t xml:space="preserve">Construction quarters</t>
  </si>
  <si>
    <t xml:space="preserve">quarters</t>
  </si>
  <si>
    <t xml:space="preserve">Annual construction debt rate</t>
  </si>
  <si>
    <t xml:space="preserve">Year 1 contracted / merchant revenue</t>
  </si>
  <si>
    <t xml:space="preserve">Annual revenue growth</t>
  </si>
  <si>
    <t xml:space="preserve">Operating cost / revenue</t>
  </si>
  <si>
    <t xml:space="preserve">Maintenance capex / revenue</t>
  </si>
  <si>
    <t xml:space="preserve">Cash tax / EBITDA</t>
  </si>
  <si>
    <t xml:space="preserve">Target DSCR</t>
  </si>
  <si>
    <t xml:space="preserve">x</t>
  </si>
  <si>
    <t xml:space="preserve">Minimum DSCR covenant</t>
  </si>
  <si>
    <t xml:space="preserve">Annual operating debt rate</t>
  </si>
  <si>
    <t xml:space="preserve">Debt tenor</t>
  </si>
  <si>
    <t xml:space="preserve">years</t>
  </si>
  <si>
    <t xml:space="preserve">DSRA months of forward debt service</t>
  </si>
  <si>
    <t xml:space="preserve">months</t>
  </si>
  <si>
    <t xml:space="preserve">Discount rate for LLCR / PLCR</t>
  </si>
  <si>
    <t xml:space="preserve">Residual / decommissioning reserve per year</t>
  </si>
  <si>
    <t xml:space="preserve">Availability / volume factor</t>
  </si>
  <si>
    <t xml:space="preserve">Inflation escalation</t>
  </si>
  <si>
    <t xml:space="preserve">Quarterly Construction Funding and IDC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</si>
  <si>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</si>
  <si>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</si>
  <si>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</si>
  <si>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</si>
  <si>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</si>
  <si>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</si>
  <si>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</si>
  <si>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</si>
  <si>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</si>
  <si>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</si>
  <si>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Total</t>
  </si>
  <si>
    <t xml:space="preserve">Spend curve</t>
  </si>
  <si>
    <t xml:space="preserve">Hard construction cost</t>
  </si>
  <si>
    <t xml:space="preserve">Development / owner costs</t>
  </si>
  <si>
    <t xml:space="preserve">Contingency</t>
  </si>
  <si>
    <t xml:space="preserve">Total pre-IDC spend</t>
  </si>
  <si>
    <t xml:space="preserve">Equity draw</t>
  </si>
  <si>
    <t xml:space="preserve">Debt draw</t>
  </si>
  <si>
    <t xml:space="preserve">Beginning construction debt</t>
  </si>
  <si>
    <t xml:space="preserve">Interest during construction</t>
  </si>
  <si>
    <t xml:space="preserve">Ending construction debt</t>
  </si>
  <si>
    <t xml:space="preserve">Cumulative project spend</t>
  </si>
  <si>
    <t xml:space="preserve">Sources &amp; Uses at Financial Close</t>
  </si>
  <si>
    <t xml:space="preserve">Uses</t>
  </si>
  <si>
    <t xml:space="preserve">Amount</t>
  </si>
  <si>
    <t xml:space="preserve">Sources</t>
  </si>
  <si>
    <t xml:space="preserve">Construction / term debt</t>
  </si>
  <si>
    <t xml:space="preserve">Sponsor equity</t>
  </si>
  <si>
    <t xml:space="preserve">Grants / subordinated support</t>
  </si>
  <si>
    <t xml:space="preserve">Total sources</t>
  </si>
  <si>
    <t xml:space="preserve">Initial DSRA funding</t>
  </si>
  <si>
    <t xml:space="preserve">Sources less uses</t>
  </si>
  <si>
    <t xml:space="preserve">Total uses</t>
  </si>
  <si>
    <t xml:space="preserve">Ten-Year Operating Forecast and CFADS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</si>
  <si>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</si>
  <si>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</si>
  <si>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</si>
  <si>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</si>
  <si>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</si>
  <si>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</si>
  <si>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</si>
  <si>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</si>
  <si>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</si>
  <si>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</si>
  <si>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Nominal contracted / merchant revenue</t>
  </si>
  <si>
    <t xml:space="preserve">Availability-adjusted revenue</t>
  </si>
  <si>
    <t xml:space="preserve">Operating cost</t>
  </si>
  <si>
    <t xml:space="preserve">EBITDA</t>
  </si>
  <si>
    <t xml:space="preserve">Cash taxes</t>
  </si>
  <si>
    <t xml:space="preserve">Maintenance capex</t>
  </si>
  <si>
    <t xml:space="preserve">Decommissioning / lifecycle reserve</t>
  </si>
  <si>
    <t xml:space="preserve">CFADS</t>
  </si>
  <si>
    <t xml:space="preserve">Sculpted Term Debt Schedule</t>
  </si>
  <si>
    <t xml:space="preserve">$mm / x</t>
  </si>
  <si>
    <t xml:space="preserve">Beginning debt</t>
  </si>
  <si>
    <t xml:space="preserve">Cash interest</t>
  </si>
  <si>
    <t xml:space="preserve">Maximum debt service at target DSCR</t>
  </si>
  <si>
    <t xml:space="preserve">Scheduled principal</t>
  </si>
  <si>
    <t xml:space="preserve">Ending debt</t>
  </si>
  <si>
    <t xml:space="preserve">Actual debt service</t>
  </si>
  <si>
    <t xml:space="preserve">DSCR</t>
  </si>
  <si>
    <t xml:space="preserve">Discount factor</t>
  </si>
  <si>
    <t xml:space="preserve">PV of CFADS</t>
  </si>
  <si>
    <t xml:space="preserve">LLCR from each year</t>
  </si>
  <si>
    <t xml:space="preserve">Debt Service Reserve Account</t>
  </si>
  <si>
    <t xml:space="preserve">Forward debt service</t>
  </si>
  <si>
    <t xml:space="preserve">Required DSRA</t>
  </si>
  <si>
    <t xml:space="preserve">Beginning DSRA</t>
  </si>
  <si>
    <t xml:space="preserve">Funding / (release)</t>
  </si>
  <si>
    <t xml:space="preserve">Ending DSRA</t>
  </si>
  <si>
    <t xml:space="preserve">DSRA funding at close</t>
  </si>
  <si>
    <t xml:space="preserve">Coverage, Liquidity, and Tail Risk</t>
  </si>
  <si>
    <t xml:space="preserve">Metric</t>
  </si>
  <si>
    <t xml:space="preserve">Minimum DSCR</t>
  </si>
  <si>
    <t xml:space="preserve">DSCR headroom</t>
  </si>
  <si>
    <t xml:space="preserve">LLCR</t>
  </si>
  <si>
    <t xml:space="preserve">PLCR</t>
  </si>
  <si>
    <t xml:space="preserve">Debt / EBITDA</t>
  </si>
  <si>
    <t xml:space="preserve">DSRA coverage</t>
  </si>
  <si>
    <t xml:space="preserve">Covenant status</t>
  </si>
  <si>
    <t xml:space="preserve">Minimum DSCR Sensitivity</t>
  </si>
  <si>
    <t xml:space="preserve">Revenue haircut / Operating cost</t>
  </si>
  <si>
    <t xml:space="preserve">Model Checks</t>
  </si>
  <si>
    <t xml:space="preserve">Check</t>
  </si>
  <si>
    <t xml:space="preserve">Construction spend curve totals 100%</t>
  </si>
  <si>
    <t xml:space="preserve">Sources equal uses</t>
  </si>
  <si>
    <t xml:space="preserve">Debt never negative</t>
  </si>
  <si>
    <t xml:space="preserve">No DSCR covenant breach</t>
  </si>
  <si>
    <t xml:space="preserve">DSRA fully funded</t>
  </si>
  <si>
    <t xml:space="preserve">LLCR positive</t>
  </si>
  <si>
    <t xml:space="preserve">Debt repaid or balloon disclosed</t>
  </si>
  <si>
    <t xml:space="preserve">Overall model status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</si>
  <si>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</si>
  <si>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</si>
  <si>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</si>
  <si>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</si>
  <si>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EPC and construction budget</t>
  </si>
  <si>
    <t xml:space="preserve">[data room / contract URL]</t>
  </si>
  <si>
    <t xml:space="preserve">[date]</t>
  </si>
  <si>
    <t xml:space="preserve">Cost, timing, contingency, liquidated damages</t>
  </si>
  <si>
    <t xml:space="preserve">Concession / offtake agreement</t>
  </si>
  <si>
    <t xml:space="preserve">[public filing / contract URL]</t>
  </si>
  <si>
    <t xml:space="preserve">Tariff, availability, escalation, termination</t>
  </si>
  <si>
    <t xml:space="preserve">Debt term sheet and common terms</t>
  </si>
  <si>
    <t xml:space="preserve">[data room URL]</t>
  </si>
  <si>
    <t xml:space="preserve">Rates, tenor, sculpting, covenants, reserves</t>
  </si>
  <si>
    <t xml:space="preserve">Independent engineer report</t>
  </si>
  <si>
    <t xml:space="preserve">[advisor URL]</t>
  </si>
  <si>
    <t xml:space="preserve">Construction and operating assumptions</t>
  </si>
  <si>
    <t xml:space="preserve">Market / resource study</t>
  </si>
  <si>
    <t xml:space="preserve">[consultant or public source]</t>
  </si>
  <si>
    <t xml:space="preserve">Demand, irradiation, wind, traffic, throughput</t>
  </si>
  <si>
    <t xml:space="preserve">Discount and benchmark rates</t>
  </si>
  <si>
    <t xml:space="preserve">https://home.treasury.gov/resource-center/data-chart-center/interest-rates</t>
  </si>
  <si>
    <t xml:space="preserve">Document currency and tenor mapping</t>
  </si>
  <si>
    <t xml:space="preserve">Finance-Segway benchmark fixture project-adversarial-delay</t>
  </si>
  <si>
    <t xml:space="preserve">repo://standards/benchmark_cases/project-adversarial-delay.json</t>
  </si>
  <si>
    <t xml:space="preserve">Synthetic engineering fixture; not investment evidence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</si>
  <si>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</si>
  <si>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</si>
  <si>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</si>
  <si>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</si>
  <si>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</si>
  <si>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</si>
  <si>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Synthetic benchmark generation</t>
  </si>
  <si>
    <t xml:space="preserve">Generated project-adversarial-delay from canonical release template</t>
  </si>
  <si>
    <t xml:space="preserve">Engineering fixture only; not public underwriting or M4 evidence</t>
  </si>
  <si>
    <t xml:space="preserve">On builder, formula, or contract change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</si>
</sst>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;[RED]&quot;($&quot;#,##0.0\);\-"/>
    <numFmt numFmtId="166" formatCode="0.0%;[RED]\(0.0%\);\-"/>
    <numFmt numFmtId="167" formatCode="0"/>
    <numFmt numFmtId="168" formatCode="0.00%;[RED]\(0.00%\);\-"/>
    <numFmt numFmtId="169" formatCode="0.0\x;[RED]\(0.0&quot;x)&quot;;\-"/>
    <numFmt numFmtId="170" formatCode="0.0"/>
    <numFmt numFmtId="171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5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5" t="s">
        <v>10</v>
      </c>
    </row>
    <row r="9" customFormat="false" ht="15" hidden="false" customHeight="true" outlineLevel="0" collapsed="false">
      <c r="B9" s="3" t="s">
        <v>11</v>
      </c>
      <c r="C9" s="4" t="s">
        <v>12</v>
      </c>
    </row>
    <row r="10" customFormat="false" ht="15" hidden="false" customHeight="true" outlineLevel="0" collapsed="false">
      <c r="B10" s="3" t="s">
        <v>13</v>
      </c>
      <c r="C10" s="5" t="s">
        <v>14</v>
      </c>
    </row>
    <row r="13" customFormat="false" ht="15" hidden="false" customHeight="true" outlineLevel="0" collapsed="false">
      <c r="B13" s="6" t="s">
        <v>15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16</v>
      </c>
      <c r="C14" s="8" t="s">
        <v>17</v>
      </c>
    </row>
    <row r="15" customFormat="false" ht="15" hidden="false" customHeight="true" outlineLevel="0" collapsed="false">
      <c r="B15" s="3" t="s">
        <v>18</v>
      </c>
      <c r="C15" s="8" t="s">
        <v>19</v>
      </c>
    </row>
    <row r="16" customFormat="false" ht="15" hidden="false" customHeight="true" outlineLevel="0" collapsed="false">
      <c r="B16" s="9" t="s">
        <v>20</v>
      </c>
      <c r="C16" s="8" t="s">
        <v>21</v>
      </c>
    </row>
    <row r="17" customFormat="false" ht="15" hidden="false" customHeight="true" outlineLevel="0" collapsed="false">
      <c r="B17" s="3" t="s">
        <v>22</v>
      </c>
      <c r="C17" s="8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10" t="s">
        <v>24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25</v>
      </c>
      <c r="C4" s="12" t="s">
        <v>26</v>
      </c>
      <c r="D4" s="12"/>
      <c r="E4" s="12"/>
      <c r="F4" s="12"/>
    </row>
    <row r="5" customFormat="false" ht="15" hidden="false" customHeight="true" outlineLevel="0" collapsed="false">
      <c r="B5" s="11" t="s">
        <v>27</v>
      </c>
      <c r="C5" s="12" t="s">
        <v>28</v>
      </c>
      <c r="D5" s="12"/>
      <c r="E5" s="12"/>
      <c r="F5" s="12"/>
    </row>
    <row r="6" customFormat="false" ht="15" hidden="false" customHeight="true" outlineLevel="0" collapsed="false">
      <c r="B6" s="11" t="s">
        <v>29</v>
      </c>
      <c r="C6" s="12" t="s">
        <v>30</v>
      </c>
      <c r="D6" s="12"/>
      <c r="E6" s="12"/>
      <c r="F6" s="12"/>
    </row>
    <row r="7" customFormat="false" ht="15" hidden="false" customHeight="true" outlineLevel="0" collapsed="false">
      <c r="B7" s="11" t="s">
        <v>31</v>
      </c>
      <c r="C7" s="12" t="s">
        <v>32</v>
      </c>
      <c r="D7" s="12"/>
      <c r="E7" s="12"/>
      <c r="F7" s="12"/>
    </row>
    <row r="8" customFormat="false" ht="15" hidden="false" customHeight="true" outlineLevel="0" collapsed="false">
      <c r="B8" s="11" t="s">
        <v>33</v>
      </c>
      <c r="C8" s="12" t="s">
        <v>34</v>
      </c>
      <c r="D8" s="12"/>
      <c r="E8" s="12"/>
      <c r="F8" s="12"/>
    </row>
    <row r="9" customFormat="false" ht="15" hidden="false" customHeight="true" outlineLevel="0" collapsed="false">
      <c r="B9" s="11" t="s">
        <v>35</v>
      </c>
      <c r="C9" s="12" t="s">
        <v>36</v>
      </c>
      <c r="D9" s="12"/>
      <c r="E9" s="12"/>
      <c r="F9" s="12"/>
    </row>
    <row r="10" customFormat="false" ht="15" hidden="false" customHeight="true" outlineLevel="0" collapsed="false">
      <c r="B10" s="11" t="s">
        <v>37</v>
      </c>
      <c r="C10" s="12" t="s">
        <v>38</v>
      </c>
      <c r="D10" s="12"/>
      <c r="E10" s="12"/>
      <c r="F10" s="12"/>
    </row>
    <row r="12" customFormat="false" ht="15" hidden="false" customHeight="false" outlineLevel="0" collapsed="false">
      <c r="B12" s="13" t="s">
        <v>39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40</v>
      </c>
      <c r="C13" s="14" t="s">
        <v>41</v>
      </c>
      <c r="D13" s="14" t="s">
        <v>42</v>
      </c>
      <c r="E13" s="14" t="s">
        <v>43</v>
      </c>
      <c r="F13" s="14" t="s">
        <v>44</v>
      </c>
    </row>
    <row r="14" customFormat="false" ht="15" hidden="false" customHeight="false" outlineLevel="0" collapsed="false">
      <c r="B14" s="1" t="n">
        <v>1</v>
      </c>
      <c r="C14" s="1" t="s">
        <v>45</v>
      </c>
      <c r="D14" s="1"/>
      <c r="E14" s="1"/>
      <c r="F14" s="15" t="s">
        <v>46</v>
      </c>
    </row>
    <row r="15" customFormat="false" ht="15" hidden="false" customHeight="false" outlineLevel="0" collapsed="false">
      <c r="B15" s="1" t="n">
        <v>2</v>
      </c>
      <c r="C15" s="1" t="s">
        <v>47</v>
      </c>
      <c r="D15" s="1"/>
      <c r="E15" s="1"/>
      <c r="F15" s="15" t="s">
        <v>46</v>
      </c>
    </row>
    <row r="16" customFormat="false" ht="15" hidden="false" customHeight="false" outlineLevel="0" collapsed="false">
      <c r="B16" s="1" t="n">
        <v>3</v>
      </c>
      <c r="C16" s="1" t="s">
        <v>48</v>
      </c>
      <c r="D16" s="1"/>
      <c r="E16" s="1"/>
      <c r="F16" s="15" t="s">
        <v>46</v>
      </c>
    </row>
    <row r="17" customFormat="false" ht="15" hidden="false" customHeight="false" outlineLevel="0" collapsed="false">
      <c r="B17" s="1" t="n">
        <v>4</v>
      </c>
      <c r="C17" s="1" t="s">
        <v>49</v>
      </c>
      <c r="D17" s="1"/>
      <c r="E17" s="1"/>
      <c r="F17" s="15" t="s">
        <v>46</v>
      </c>
    </row>
    <row r="18" customFormat="false" ht="15" hidden="false" customHeight="false" outlineLevel="0" collapsed="false">
      <c r="B18" s="1" t="n">
        <v>5</v>
      </c>
      <c r="C18" s="1" t="s">
        <v>50</v>
      </c>
      <c r="D18" s="1"/>
      <c r="E18" s="1"/>
      <c r="F18" s="15" t="s">
        <v>46</v>
      </c>
    </row>
    <row r="20" customFormat="false" ht="15" hidden="false" customHeight="false" outlineLevel="0" collapsed="false">
      <c r="B20" s="13" t="s">
        <v>51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40</v>
      </c>
      <c r="C21" s="14" t="s">
        <v>41</v>
      </c>
      <c r="D21" s="14" t="s">
        <v>42</v>
      </c>
      <c r="E21" s="14" t="s">
        <v>43</v>
      </c>
      <c r="F21" s="14" t="s">
        <v>44</v>
      </c>
    </row>
    <row r="22" customFormat="false" ht="15" hidden="false" customHeight="false" outlineLevel="0" collapsed="false">
      <c r="B22" s="1" t="n">
        <v>1</v>
      </c>
      <c r="C22" s="1" t="s">
        <v>52</v>
      </c>
      <c r="D22" s="1"/>
      <c r="E22" s="1"/>
      <c r="F22" s="15" t="s">
        <v>46</v>
      </c>
    </row>
    <row r="23" customFormat="false" ht="15" hidden="false" customHeight="false" outlineLevel="0" collapsed="false">
      <c r="B23" s="1" t="n">
        <v>2</v>
      </c>
      <c r="C23" s="1" t="s">
        <v>53</v>
      </c>
      <c r="D23" s="1"/>
      <c r="E23" s="1"/>
      <c r="F23" s="15" t="s">
        <v>46</v>
      </c>
    </row>
    <row r="24" customFormat="false" ht="15" hidden="false" customHeight="false" outlineLevel="0" collapsed="false">
      <c r="B24" s="1" t="n">
        <v>3</v>
      </c>
      <c r="C24" s="1" t="s">
        <v>54</v>
      </c>
      <c r="D24" s="1"/>
      <c r="E24" s="1"/>
      <c r="F24" s="15" t="s">
        <v>46</v>
      </c>
    </row>
    <row r="25" customFormat="false" ht="15" hidden="false" customHeight="false" outlineLevel="0" collapsed="false">
      <c r="B25" s="1" t="n">
        <v>4</v>
      </c>
      <c r="C25" s="1" t="s">
        <v>55</v>
      </c>
      <c r="D25" s="1"/>
      <c r="E25" s="1"/>
      <c r="F25" s="15" t="s">
        <v>46</v>
      </c>
    </row>
    <row r="26" customFormat="false" ht="15" hidden="false" customHeight="false" outlineLevel="0" collapsed="false">
      <c r="B26" s="1" t="n">
        <v>5</v>
      </c>
      <c r="C26" s="1" t="s">
        <v>56</v>
      </c>
      <c r="D26" s="1"/>
      <c r="E26" s="1"/>
      <c r="F26" s="15" t="s">
        <v>46</v>
      </c>
    </row>
    <row r="28" customFormat="false" ht="15" hidden="false" customHeight="false" outlineLevel="0" collapsed="false">
      <c r="B28" s="13" t="s">
        <v>57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40</v>
      </c>
      <c r="C29" s="14" t="s">
        <v>41</v>
      </c>
      <c r="D29" s="14" t="s">
        <v>42</v>
      </c>
      <c r="E29" s="14" t="s">
        <v>43</v>
      </c>
      <c r="F29" s="14" t="s">
        <v>44</v>
      </c>
    </row>
    <row r="30" customFormat="false" ht="15" hidden="false" customHeight="false" outlineLevel="0" collapsed="false">
      <c r="B30" s="1" t="n">
        <v>1</v>
      </c>
      <c r="C30" s="1" t="s">
        <v>58</v>
      </c>
      <c r="D30" s="1"/>
      <c r="E30" s="1"/>
      <c r="F30" s="15" t="s">
        <v>46</v>
      </c>
    </row>
    <row r="31" customFormat="false" ht="15" hidden="false" customHeight="false" outlineLevel="0" collapsed="false">
      <c r="B31" s="1" t="n">
        <v>2</v>
      </c>
      <c r="C31" s="1" t="s">
        <v>59</v>
      </c>
      <c r="D31" s="1"/>
      <c r="E31" s="1"/>
      <c r="F31" s="15" t="s">
        <v>46</v>
      </c>
    </row>
    <row r="32" customFormat="false" ht="15" hidden="false" customHeight="false" outlineLevel="0" collapsed="false">
      <c r="B32" s="1" t="n">
        <v>3</v>
      </c>
      <c r="C32" s="1" t="s">
        <v>60</v>
      </c>
      <c r="D32" s="1"/>
      <c r="E32" s="1"/>
      <c r="F32" s="15" t="s">
        <v>46</v>
      </c>
    </row>
    <row r="33" customFormat="false" ht="15" hidden="false" customHeight="false" outlineLevel="0" collapsed="false">
      <c r="B33" s="1" t="n">
        <v>4</v>
      </c>
      <c r="C33" s="1" t="s">
        <v>61</v>
      </c>
      <c r="D33" s="1"/>
      <c r="E33" s="1"/>
      <c r="F33" s="15" t="s">
        <v>46</v>
      </c>
    </row>
    <row r="34" customFormat="false" ht="15" hidden="false" customHeight="false" outlineLevel="0" collapsed="false">
      <c r="B34" s="1" t="n">
        <v>5</v>
      </c>
      <c r="C34" s="1" t="s">
        <v>62</v>
      </c>
      <c r="D34" s="1"/>
      <c r="E34" s="1"/>
      <c r="F34" s="15" t="s">
        <v>46</v>
      </c>
    </row>
    <row r="36" customFormat="false" ht="15" hidden="false" customHeight="false" outlineLevel="0" collapsed="false">
      <c r="B36" s="13" t="s">
        <v>63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40</v>
      </c>
      <c r="C37" s="14" t="s">
        <v>41</v>
      </c>
      <c r="D37" s="14" t="s">
        <v>42</v>
      </c>
      <c r="E37" s="14" t="s">
        <v>43</v>
      </c>
      <c r="F37" s="14" t="s">
        <v>44</v>
      </c>
    </row>
    <row r="38" customFormat="false" ht="15" hidden="false" customHeight="false" outlineLevel="0" collapsed="false">
      <c r="B38" s="1" t="n">
        <v>1</v>
      </c>
      <c r="C38" s="1" t="s">
        <v>64</v>
      </c>
      <c r="D38" s="1"/>
      <c r="E38" s="1"/>
      <c r="F38" s="15" t="s">
        <v>46</v>
      </c>
    </row>
    <row r="39" customFormat="false" ht="15" hidden="false" customHeight="false" outlineLevel="0" collapsed="false">
      <c r="B39" s="1" t="n">
        <v>2</v>
      </c>
      <c r="C39" s="1" t="s">
        <v>65</v>
      </c>
      <c r="D39" s="1"/>
      <c r="E39" s="1"/>
      <c r="F39" s="15" t="s">
        <v>46</v>
      </c>
    </row>
    <row r="40" customFormat="false" ht="15" hidden="false" customHeight="false" outlineLevel="0" collapsed="false">
      <c r="B40" s="1" t="n">
        <v>3</v>
      </c>
      <c r="C40" s="1" t="s">
        <v>66</v>
      </c>
      <c r="D40" s="1"/>
      <c r="E40" s="1"/>
      <c r="F40" s="15" t="s">
        <v>46</v>
      </c>
    </row>
    <row r="41" customFormat="false" ht="15" hidden="false" customHeight="false" outlineLevel="0" collapsed="false">
      <c r="B41" s="1" t="n">
        <v>4</v>
      </c>
      <c r="C41" s="1" t="s">
        <v>67</v>
      </c>
      <c r="D41" s="1"/>
      <c r="E41" s="1"/>
      <c r="F41" s="15" t="s">
        <v>46</v>
      </c>
    </row>
    <row r="42" customFormat="false" ht="15" hidden="false" customHeight="false" outlineLevel="0" collapsed="false">
      <c r="B42" s="1" t="n">
        <v>5</v>
      </c>
      <c r="C42" s="1" t="s">
        <v>68</v>
      </c>
      <c r="D42" s="1"/>
      <c r="E42" s="1"/>
      <c r="F42" s="15" t="s">
        <v>46</v>
      </c>
    </row>
    <row r="44" customFormat="false" ht="15" hidden="false" customHeight="false" outlineLevel="0" collapsed="false">
      <c r="B44" s="13" t="s">
        <v>69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40</v>
      </c>
      <c r="C45" s="14" t="s">
        <v>41</v>
      </c>
      <c r="D45" s="14" t="s">
        <v>42</v>
      </c>
      <c r="E45" s="14" t="s">
        <v>43</v>
      </c>
      <c r="F45" s="14" t="s">
        <v>44</v>
      </c>
    </row>
    <row r="46" customFormat="false" ht="15" hidden="false" customHeight="false" outlineLevel="0" collapsed="false">
      <c r="B46" s="1" t="n">
        <v>1</v>
      </c>
      <c r="C46" s="1" t="s">
        <v>70</v>
      </c>
      <c r="D46" s="1"/>
      <c r="E46" s="1"/>
      <c r="F46" s="15" t="s">
        <v>46</v>
      </c>
    </row>
    <row r="47" customFormat="false" ht="15" hidden="false" customHeight="false" outlineLevel="0" collapsed="false">
      <c r="B47" s="1" t="n">
        <v>2</v>
      </c>
      <c r="C47" s="1" t="s">
        <v>71</v>
      </c>
      <c r="D47" s="1"/>
      <c r="E47" s="1"/>
      <c r="F47" s="15" t="s">
        <v>46</v>
      </c>
    </row>
    <row r="48" customFormat="false" ht="15" hidden="false" customHeight="false" outlineLevel="0" collapsed="false">
      <c r="B48" s="1" t="n">
        <v>3</v>
      </c>
      <c r="C48" s="1" t="s">
        <v>72</v>
      </c>
      <c r="D48" s="1"/>
      <c r="E48" s="1"/>
      <c r="F48" s="15" t="s">
        <v>46</v>
      </c>
    </row>
    <row r="49" customFormat="false" ht="15" hidden="false" customHeight="false" outlineLevel="0" collapsed="false">
      <c r="B49" s="1" t="n">
        <v>4</v>
      </c>
      <c r="C49" s="1" t="s">
        <v>73</v>
      </c>
      <c r="D49" s="1"/>
      <c r="E49" s="1"/>
      <c r="F49" s="15" t="s">
        <v>46</v>
      </c>
    </row>
    <row r="50" customFormat="false" ht="15" hidden="false" customHeight="false" outlineLevel="0" collapsed="false">
      <c r="B50" s="1" t="n">
        <v>5</v>
      </c>
      <c r="C50" s="1" t="s">
        <v>74</v>
      </c>
      <c r="D50" s="1"/>
      <c r="E50" s="1"/>
      <c r="F50" s="15" t="s">
        <v>46</v>
      </c>
    </row>
    <row r="52" customFormat="false" ht="15" hidden="false" customHeight="false" outlineLevel="0" collapsed="false">
      <c r="B52" s="13" t="s">
        <v>75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40</v>
      </c>
      <c r="C53" s="14" t="s">
        <v>41</v>
      </c>
      <c r="D53" s="14" t="s">
        <v>42</v>
      </c>
      <c r="E53" s="14" t="s">
        <v>43</v>
      </c>
      <c r="F53" s="14" t="s">
        <v>44</v>
      </c>
    </row>
    <row r="54" customFormat="false" ht="15" hidden="false" customHeight="false" outlineLevel="0" collapsed="false">
      <c r="B54" s="1" t="n">
        <v>1</v>
      </c>
      <c r="C54" s="1" t="s">
        <v>76</v>
      </c>
      <c r="D54" s="1"/>
      <c r="E54" s="1"/>
      <c r="F54" s="15" t="s">
        <v>46</v>
      </c>
    </row>
    <row r="55" customFormat="false" ht="15" hidden="false" customHeight="false" outlineLevel="0" collapsed="false">
      <c r="B55" s="1" t="n">
        <v>2</v>
      </c>
      <c r="C55" s="1" t="s">
        <v>77</v>
      </c>
      <c r="D55" s="1"/>
      <c r="E55" s="1"/>
      <c r="F55" s="15" t="s">
        <v>46</v>
      </c>
    </row>
    <row r="56" customFormat="false" ht="15" hidden="false" customHeight="false" outlineLevel="0" collapsed="false">
      <c r="B56" s="1" t="n">
        <v>3</v>
      </c>
      <c r="C56" s="1" t="s">
        <v>78</v>
      </c>
      <c r="D56" s="1"/>
      <c r="E56" s="1"/>
      <c r="F56" s="15" t="s">
        <v>46</v>
      </c>
    </row>
    <row r="57" customFormat="false" ht="15" hidden="false" customHeight="false" outlineLevel="0" collapsed="false">
      <c r="B57" s="1" t="n">
        <v>4</v>
      </c>
      <c r="C57" s="1" t="s">
        <v>79</v>
      </c>
      <c r="D57" s="1"/>
      <c r="E57" s="1"/>
      <c r="F57" s="15" t="s">
        <v>46</v>
      </c>
    </row>
    <row r="58" customFormat="false" ht="15" hidden="false" customHeight="false" outlineLevel="0" collapsed="false">
      <c r="B58" s="1" t="n">
        <v>5</v>
      </c>
      <c r="C58" s="1" t="s">
        <v>80</v>
      </c>
      <c r="D58" s="1"/>
      <c r="E58" s="1"/>
      <c r="F58" s="15" t="s">
        <v>46</v>
      </c>
    </row>
    <row r="60" customFormat="false" ht="15" hidden="false" customHeight="false" outlineLevel="0" collapsed="false">
      <c r="B60" s="13" t="s">
        <v>81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82</v>
      </c>
      <c r="C61" s="14" t="s">
        <v>83</v>
      </c>
      <c r="D61" s="14" t="s">
        <v>84</v>
      </c>
      <c r="E61" s="14" t="s">
        <v>85</v>
      </c>
      <c r="F61" s="14" t="s">
        <v>86</v>
      </c>
    </row>
    <row r="62" customFormat="false" ht="15" hidden="false" customHeight="false" outlineLevel="0" collapsed="false">
      <c r="B62" s="1" t="s">
        <v>87</v>
      </c>
      <c r="C62" s="1" t="s">
        <v>88</v>
      </c>
      <c r="D62" s="1" t="s">
        <v>89</v>
      </c>
      <c r="E62" s="1" t="s">
        <v>90</v>
      </c>
      <c r="F62" s="1"/>
    </row>
    <row r="63" customFormat="false" ht="15" hidden="false" customHeight="false" outlineLevel="0" collapsed="false">
      <c r="B63" s="1" t="s">
        <v>91</v>
      </c>
      <c r="C63" s="1" t="s">
        <v>92</v>
      </c>
      <c r="D63" s="1" t="s">
        <v>93</v>
      </c>
      <c r="E63" s="1" t="s">
        <v>90</v>
      </c>
      <c r="F63" s="1"/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10" t="s">
        <v>94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95</v>
      </c>
      <c r="C4" s="14" t="s">
        <v>96</v>
      </c>
      <c r="D4" s="14" t="s">
        <v>97</v>
      </c>
      <c r="E4" s="14" t="s">
        <v>98</v>
      </c>
      <c r="F4" s="14" t="s">
        <v>99</v>
      </c>
      <c r="G4" s="14" t="s">
        <v>100</v>
      </c>
      <c r="H4" s="14" t="s">
        <v>44</v>
      </c>
      <c r="I4" s="14" t="s">
        <v>101</v>
      </c>
    </row>
    <row r="5" customFormat="false" ht="15" hidden="false" customHeight="false" outlineLevel="0" collapsed="false">
      <c r="B5" s="1"/>
      <c r="C5" s="1"/>
      <c r="D5" s="1" t="s">
        <v>70</v>
      </c>
      <c r="E5" s="1"/>
      <c r="F5" s="1"/>
      <c r="G5" s="1"/>
      <c r="H5" s="15" t="s">
        <v>46</v>
      </c>
      <c r="I5" s="1"/>
    </row>
    <row r="6" customFormat="false" ht="15" hidden="false" customHeight="false" outlineLevel="0" collapsed="false">
      <c r="B6" s="1"/>
      <c r="C6" s="1"/>
      <c r="D6" s="1" t="s">
        <v>71</v>
      </c>
      <c r="E6" s="1"/>
      <c r="F6" s="1"/>
      <c r="G6" s="1"/>
      <c r="H6" s="15" t="s">
        <v>46</v>
      </c>
      <c r="I6" s="1"/>
    </row>
    <row r="7" customFormat="false" ht="15" hidden="false" customHeight="false" outlineLevel="0" collapsed="false">
      <c r="B7" s="1"/>
      <c r="C7" s="1"/>
      <c r="D7" s="1" t="s">
        <v>72</v>
      </c>
      <c r="E7" s="1"/>
      <c r="F7" s="1"/>
      <c r="G7" s="1"/>
      <c r="H7" s="15" t="s">
        <v>46</v>
      </c>
      <c r="I7" s="1"/>
    </row>
    <row r="8" customFormat="false" ht="15" hidden="false" customHeight="false" outlineLevel="0" collapsed="false">
      <c r="B8" s="1"/>
      <c r="C8" s="1"/>
      <c r="D8" s="1" t="s">
        <v>73</v>
      </c>
      <c r="E8" s="1"/>
      <c r="F8" s="1"/>
      <c r="G8" s="1"/>
      <c r="H8" s="15" t="s">
        <v>46</v>
      </c>
      <c r="I8" s="1"/>
    </row>
    <row r="9" customFormat="false" ht="15" hidden="false" customHeight="false" outlineLevel="0" collapsed="false">
      <c r="B9" s="1"/>
      <c r="C9" s="1"/>
      <c r="D9" s="1" t="s">
        <v>74</v>
      </c>
      <c r="E9" s="1"/>
      <c r="F9" s="1"/>
      <c r="G9" s="1"/>
      <c r="H9" s="15" t="s">
        <v>46</v>
      </c>
      <c r="I9" s="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10" t="s">
        <v>102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103</v>
      </c>
      <c r="C4" s="14" t="s">
        <v>104</v>
      </c>
      <c r="D4" s="14" t="s">
        <v>105</v>
      </c>
      <c r="E4" s="14" t="s">
        <v>106</v>
      </c>
      <c r="F4" s="14" t="s">
        <v>107</v>
      </c>
      <c r="G4" s="14" t="s">
        <v>42</v>
      </c>
      <c r="H4" s="14" t="s">
        <v>108</v>
      </c>
      <c r="I4" s="14" t="s">
        <v>109</v>
      </c>
      <c r="J4" s="14" t="s">
        <v>44</v>
      </c>
    </row>
    <row r="5" customFormat="false" ht="15" hidden="false" customHeight="false" outlineLevel="0" collapsed="false">
      <c r="B5" s="1" t="s">
        <v>110</v>
      </c>
      <c r="C5" s="1" t="s">
        <v>111</v>
      </c>
      <c r="D5" s="1" t="s">
        <v>112</v>
      </c>
      <c r="E5" s="1"/>
      <c r="F5" s="1"/>
      <c r="G5" s="1"/>
      <c r="H5" s="1"/>
      <c r="I5" s="1"/>
      <c r="J5" s="15" t="s">
        <v>113</v>
      </c>
    </row>
    <row r="6" customFormat="false" ht="15" hidden="false" customHeight="false" outlineLevel="0" collapsed="false">
      <c r="B6" s="1" t="s">
        <v>114</v>
      </c>
      <c r="C6" s="1" t="s">
        <v>111</v>
      </c>
      <c r="D6" s="1" t="s">
        <v>115</v>
      </c>
      <c r="E6" s="1"/>
      <c r="F6" s="1"/>
      <c r="G6" s="1"/>
      <c r="H6" s="1"/>
      <c r="I6" s="1"/>
      <c r="J6" s="15" t="s">
        <v>113</v>
      </c>
    </row>
    <row r="7" customFormat="false" ht="15" hidden="false" customHeight="false" outlineLevel="0" collapsed="false">
      <c r="B7" s="1" t="s">
        <v>116</v>
      </c>
      <c r="C7" s="1" t="s">
        <v>117</v>
      </c>
      <c r="D7" s="1" t="s">
        <v>118</v>
      </c>
      <c r="E7" s="1"/>
      <c r="F7" s="1"/>
      <c r="G7" s="1"/>
      <c r="H7" s="1"/>
      <c r="I7" s="1"/>
      <c r="J7" s="15" t="s">
        <v>113</v>
      </c>
    </row>
    <row r="8" customFormat="false" ht="15" hidden="false" customHeight="false" outlineLevel="0" collapsed="false">
      <c r="B8" s="1" t="s">
        <v>119</v>
      </c>
      <c r="C8" s="1" t="s">
        <v>120</v>
      </c>
      <c r="D8" s="1" t="s">
        <v>121</v>
      </c>
      <c r="E8" s="1"/>
      <c r="F8" s="1"/>
      <c r="G8" s="1"/>
      <c r="H8" s="1"/>
      <c r="I8" s="1"/>
      <c r="J8" s="15" t="s">
        <v>113</v>
      </c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5" min="3" style="1" width="15"/>
    <col collapsed="false" customWidth="true" hidden="false" outlineLevel="0" max="6" min="6" style="1" width="32"/>
  </cols>
  <sheetData>
    <row r="2" customFormat="false" ht="27.75" hidden="false" customHeight="true" outlineLevel="0" collapsed="false">
      <c r="B2" s="2" t="s">
        <v>122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123</v>
      </c>
      <c r="C4" s="16" t="s">
        <v>124</v>
      </c>
      <c r="D4" s="16" t="s">
        <v>12</v>
      </c>
      <c r="E4" s="16" t="s">
        <v>125</v>
      </c>
      <c r="F4" s="16" t="s">
        <v>126</v>
      </c>
    </row>
    <row r="5" customFormat="false" ht="15" hidden="false" customHeight="true" outlineLevel="0" collapsed="false">
      <c r="B5" s="1" t="s">
        <v>127</v>
      </c>
      <c r="C5" s="17" t="n">
        <v>800</v>
      </c>
      <c r="D5" s="18" t="n">
        <v>1100</v>
      </c>
      <c r="E5" s="19" t="n">
        <f aca="false">IF(Cover!$C$9="Downside",D5,C5)</f>
        <v>1100</v>
      </c>
      <c r="F5" s="1" t="s">
        <v>128</v>
      </c>
    </row>
    <row r="6" customFormat="false" ht="15" hidden="false" customHeight="true" outlineLevel="0" collapsed="false">
      <c r="B6" s="1" t="s">
        <v>129</v>
      </c>
      <c r="C6" s="17" t="n">
        <v>80</v>
      </c>
      <c r="D6" s="17" t="n">
        <v>95</v>
      </c>
      <c r="E6" s="19" t="n">
        <f aca="false">IF(Cover!$C$9="Downside",D6,C6)</f>
        <v>95</v>
      </c>
      <c r="F6" s="1" t="s">
        <v>128</v>
      </c>
    </row>
    <row r="7" customFormat="false" ht="15" hidden="false" customHeight="true" outlineLevel="0" collapsed="false">
      <c r="B7" s="1" t="s">
        <v>130</v>
      </c>
      <c r="C7" s="20" t="n">
        <v>0.08</v>
      </c>
      <c r="D7" s="20" t="n">
        <v>0.12</v>
      </c>
      <c r="E7" s="21" t="n">
        <f aca="false">IF(Cover!$C$9="Downside",D7,C7)</f>
        <v>0.12</v>
      </c>
      <c r="F7" s="1" t="s">
        <v>131</v>
      </c>
    </row>
    <row r="8" customFormat="false" ht="15" hidden="false" customHeight="true" outlineLevel="0" collapsed="false">
      <c r="B8" s="1" t="s">
        <v>132</v>
      </c>
      <c r="C8" s="20" t="n">
        <v>0.7</v>
      </c>
      <c r="D8" s="20" t="n">
        <v>0.65</v>
      </c>
      <c r="E8" s="21" t="n">
        <f aca="false">IF(Cover!$C$9="Downside",D8,C8)</f>
        <v>0.65</v>
      </c>
      <c r="F8" s="1" t="s">
        <v>131</v>
      </c>
    </row>
    <row r="9" customFormat="false" ht="15" hidden="false" customHeight="true" outlineLevel="0" collapsed="false">
      <c r="B9" s="1" t="s">
        <v>133</v>
      </c>
      <c r="C9" s="22" t="n">
        <v>8</v>
      </c>
      <c r="D9" s="23" t="n">
        <v>10</v>
      </c>
      <c r="E9" s="24" t="n">
        <f aca="false">IF(Cover!$C$9="Downside",D9,C9)</f>
        <v>10</v>
      </c>
      <c r="F9" s="1" t="s">
        <v>134</v>
      </c>
    </row>
    <row r="10" customFormat="false" ht="15" hidden="false" customHeight="true" outlineLevel="0" collapsed="false">
      <c r="B10" s="1" t="s">
        <v>135</v>
      </c>
      <c r="C10" s="25" t="n">
        <v>0.075</v>
      </c>
      <c r="D10" s="25" t="n">
        <v>0.09</v>
      </c>
      <c r="E10" s="26" t="n">
        <f aca="false">IF(Cover!$C$9="Downside",D10,C10)</f>
        <v>0.09</v>
      </c>
      <c r="F10" s="1" t="s">
        <v>131</v>
      </c>
    </row>
    <row r="11" customFormat="false" ht="15" hidden="false" customHeight="true" outlineLevel="0" collapsed="false">
      <c r="B11" s="1" t="s">
        <v>136</v>
      </c>
      <c r="C11" s="17" t="n">
        <v>180</v>
      </c>
      <c r="D11" s="18" t="n">
        <v>135</v>
      </c>
      <c r="E11" s="19" t="n">
        <f aca="false">IF(Cover!$C$9="Downside",D11,C11)</f>
        <v>135</v>
      </c>
      <c r="F11" s="1" t="s">
        <v>128</v>
      </c>
    </row>
    <row r="12" customFormat="false" ht="15" hidden="false" customHeight="true" outlineLevel="0" collapsed="false">
      <c r="B12" s="1" t="s">
        <v>137</v>
      </c>
      <c r="C12" s="20" t="n">
        <v>0.025</v>
      </c>
      <c r="D12" s="20" t="n">
        <v>0</v>
      </c>
      <c r="E12" s="21" t="n">
        <f aca="false">IF(Cover!$C$9="Downside",D12,C12)</f>
        <v>0</v>
      </c>
      <c r="F12" s="1" t="s">
        <v>131</v>
      </c>
    </row>
    <row r="13" customFormat="false" ht="15" hidden="false" customHeight="true" outlineLevel="0" collapsed="false">
      <c r="B13" s="1" t="s">
        <v>138</v>
      </c>
      <c r="C13" s="20" t="n">
        <v>0.28</v>
      </c>
      <c r="D13" s="20" t="n">
        <v>0.36</v>
      </c>
      <c r="E13" s="21" t="n">
        <f aca="false">IF(Cover!$C$9="Downside",D13,C13)</f>
        <v>0.36</v>
      </c>
      <c r="F13" s="1" t="s">
        <v>131</v>
      </c>
    </row>
    <row r="14" customFormat="false" ht="15" hidden="false" customHeight="true" outlineLevel="0" collapsed="false">
      <c r="B14" s="1" t="s">
        <v>139</v>
      </c>
      <c r="C14" s="20" t="n">
        <v>0.035</v>
      </c>
      <c r="D14" s="20" t="n">
        <v>0.05</v>
      </c>
      <c r="E14" s="21" t="n">
        <f aca="false">IF(Cover!$C$9="Downside",D14,C14)</f>
        <v>0.05</v>
      </c>
      <c r="F14" s="1" t="s">
        <v>131</v>
      </c>
    </row>
    <row r="15" customFormat="false" ht="15" hidden="false" customHeight="true" outlineLevel="0" collapsed="false">
      <c r="B15" s="1" t="s">
        <v>140</v>
      </c>
      <c r="C15" s="20" t="n">
        <v>0.15</v>
      </c>
      <c r="D15" s="20" t="n">
        <v>0.1</v>
      </c>
      <c r="E15" s="21" t="n">
        <f aca="false">IF(Cover!$C$9="Downside",D15,C15)</f>
        <v>0.1</v>
      </c>
      <c r="F15" s="1" t="s">
        <v>131</v>
      </c>
    </row>
    <row r="16" customFormat="false" ht="15" hidden="false" customHeight="true" outlineLevel="0" collapsed="false">
      <c r="B16" s="1" t="s">
        <v>141</v>
      </c>
      <c r="C16" s="27" t="n">
        <v>1.35</v>
      </c>
      <c r="D16" s="27" t="n">
        <v>1.45</v>
      </c>
      <c r="E16" s="28" t="n">
        <f aca="false">IF(Cover!$C$9="Downside",D16,C16)</f>
        <v>1.45</v>
      </c>
      <c r="F16" s="1" t="s">
        <v>142</v>
      </c>
    </row>
    <row r="17" customFormat="false" ht="15" hidden="false" customHeight="true" outlineLevel="0" collapsed="false">
      <c r="B17" s="1" t="s">
        <v>143</v>
      </c>
      <c r="C17" s="27" t="n">
        <v>1.2</v>
      </c>
      <c r="D17" s="27" t="n">
        <v>1.2</v>
      </c>
      <c r="E17" s="28" t="n">
        <f aca="false">IF(Cover!$C$9="Downside",D17,C17)</f>
        <v>1.2</v>
      </c>
      <c r="F17" s="1" t="s">
        <v>142</v>
      </c>
    </row>
    <row r="18" customFormat="false" ht="15" hidden="false" customHeight="true" outlineLevel="0" collapsed="false">
      <c r="B18" s="1" t="s">
        <v>144</v>
      </c>
      <c r="C18" s="25" t="n">
        <v>0.065</v>
      </c>
      <c r="D18" s="25" t="n">
        <v>0.08</v>
      </c>
      <c r="E18" s="26" t="n">
        <f aca="false">IF(Cover!$C$9="Downside",D18,C18)</f>
        <v>0.08</v>
      </c>
      <c r="F18" s="1" t="s">
        <v>131</v>
      </c>
    </row>
    <row r="19" customFormat="false" ht="15" hidden="false" customHeight="true" outlineLevel="0" collapsed="false">
      <c r="B19" s="1" t="s">
        <v>145</v>
      </c>
      <c r="C19" s="22" t="n">
        <v>10</v>
      </c>
      <c r="D19" s="22" t="n">
        <v>10</v>
      </c>
      <c r="E19" s="24" t="n">
        <f aca="false">IF(Cover!$C$9="Downside",D19,C19)</f>
        <v>10</v>
      </c>
      <c r="F19" s="1" t="s">
        <v>146</v>
      </c>
    </row>
    <row r="20" customFormat="false" ht="15" hidden="false" customHeight="true" outlineLevel="0" collapsed="false">
      <c r="B20" s="1" t="s">
        <v>147</v>
      </c>
      <c r="C20" s="29" t="n">
        <v>6</v>
      </c>
      <c r="D20" s="29" t="n">
        <v>9</v>
      </c>
      <c r="E20" s="30" t="n">
        <f aca="false">IF(Cover!$C$9="Downside",D20,C20)</f>
        <v>9</v>
      </c>
      <c r="F20" s="1" t="s">
        <v>148</v>
      </c>
    </row>
    <row r="21" customFormat="false" ht="15" hidden="false" customHeight="true" outlineLevel="0" collapsed="false">
      <c r="B21" s="1" t="s">
        <v>149</v>
      </c>
      <c r="C21" s="25" t="n">
        <v>0.07</v>
      </c>
      <c r="D21" s="25" t="n">
        <v>0.085</v>
      </c>
      <c r="E21" s="26" t="n">
        <f aca="false">IF(Cover!$C$9="Downside",D21,C21)</f>
        <v>0.085</v>
      </c>
      <c r="F21" s="1" t="s">
        <v>131</v>
      </c>
    </row>
    <row r="22" customFormat="false" ht="15" hidden="false" customHeight="true" outlineLevel="0" collapsed="false">
      <c r="B22" s="1" t="s">
        <v>150</v>
      </c>
      <c r="C22" s="17" t="n">
        <v>2</v>
      </c>
      <c r="D22" s="17" t="n">
        <v>4</v>
      </c>
      <c r="E22" s="19" t="n">
        <f aca="false">IF(Cover!$C$9="Downside",D22,C22)</f>
        <v>4</v>
      </c>
      <c r="F22" s="1" t="s">
        <v>128</v>
      </c>
    </row>
    <row r="23" customFormat="false" ht="15" hidden="false" customHeight="true" outlineLevel="0" collapsed="false">
      <c r="B23" s="1" t="s">
        <v>151</v>
      </c>
      <c r="C23" s="20" t="n">
        <v>0.97</v>
      </c>
      <c r="D23" s="31" t="n">
        <v>0.72</v>
      </c>
      <c r="E23" s="21" t="n">
        <f aca="false">IF(Cover!$C$9="Downside",D23,C23)</f>
        <v>0.72</v>
      </c>
      <c r="F23" s="1" t="s">
        <v>131</v>
      </c>
    </row>
    <row r="24" customFormat="false" ht="15" hidden="false" customHeight="true" outlineLevel="0" collapsed="false">
      <c r="B24" s="1" t="s">
        <v>152</v>
      </c>
      <c r="C24" s="20" t="n">
        <v>0.02</v>
      </c>
      <c r="D24" s="20" t="n">
        <v>0.03</v>
      </c>
      <c r="E24" s="21" t="n">
        <f aca="false">IF(Cover!$C$9="Downside",D24,C24)</f>
        <v>0.03</v>
      </c>
      <c r="F24" s="1" t="s">
        <v>131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13" min="3" style="1" width="12"/>
  </cols>
  <sheetData>
    <row r="2" customFormat="false" ht="27.75" hidden="false" customHeight="true" outlineLevel="0" collapsed="false">
      <c r="B2" s="2" t="s">
        <v>153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true" outlineLevel="0" collapsed="false">
      <c r="B4" s="16" t="s">
        <v>128</v>
      </c>
      <c r="C4" s="16" t="s">
        <v>154</v>
      </c>
      <c r="D4" s="16" t="s">
        <v>155</v>
      </c>
      <c r="E4" s="16" t="s">
        <v>156</v>
      </c>
      <c r="F4" s="16" t="s">
        <v>157</v>
      </c>
      <c r="G4" s="16" t="s">
        <v>158</v>
      </c>
      <c r="H4" s="16" t="s">
        <v>159</v>
      </c>
      <c r="I4" s="16" t="s">
        <v>160</v>
      </c>
      <c r="J4" s="16" t="s">
        <v>161</v>
      </c>
      <c r="K4" s="16" t="s">
        <v>162</v>
      </c>
      <c r="L4" s="16" t="s">
        <v>163</v>
      </c>
      <c r="M4" s="16" t="s">
        <v>164</v>
      </c>
    </row>
    <row r="5" customFormat="false" ht="15" hidden="false" customHeight="true" outlineLevel="0" collapsed="false">
      <c r="B5" s="1" t="s">
        <v>165</v>
      </c>
      <c r="C5" s="20" t="n">
        <v>0.05</v>
      </c>
      <c r="D5" s="20" t="n">
        <v>0.1</v>
      </c>
      <c r="E5" s="20" t="n">
        <v>0.15</v>
      </c>
      <c r="F5" s="20" t="n">
        <v>0.18</v>
      </c>
      <c r="G5" s="20" t="n">
        <v>0.18</v>
      </c>
      <c r="H5" s="20" t="n">
        <v>0.14</v>
      </c>
      <c r="I5" s="20" t="n">
        <v>0.12</v>
      </c>
      <c r="J5" s="20" t="n">
        <v>0.08</v>
      </c>
      <c r="K5" s="20" t="n">
        <v>0</v>
      </c>
      <c r="L5" s="20" t="n">
        <v>0</v>
      </c>
      <c r="M5" s="32" t="n">
        <f aca="false">SUM(C5:L5)</f>
        <v>1</v>
      </c>
    </row>
    <row r="6" customFormat="false" ht="15" hidden="false" customHeight="true" outlineLevel="0" collapsed="false">
      <c r="B6" s="1" t="s">
        <v>166</v>
      </c>
      <c r="C6" s="33" t="n">
        <f aca="false">IF(1&lt;=Assumptions!$E$9,Assumptions!$E$5*C$5,0)</f>
        <v>55</v>
      </c>
      <c r="D6" s="33" t="n">
        <f aca="false">IF(2&lt;=Assumptions!$E$9,Assumptions!$E$5*D$5,0)</f>
        <v>110</v>
      </c>
      <c r="E6" s="33" t="n">
        <f aca="false">IF(3&lt;=Assumptions!$E$9,Assumptions!$E$5*E$5,0)</f>
        <v>165</v>
      </c>
      <c r="F6" s="33" t="n">
        <f aca="false">IF(4&lt;=Assumptions!$E$9,Assumptions!$E$5*F$5,0)</f>
        <v>198</v>
      </c>
      <c r="G6" s="33" t="n">
        <f aca="false">IF(5&lt;=Assumptions!$E$9,Assumptions!$E$5*G$5,0)</f>
        <v>198</v>
      </c>
      <c r="H6" s="33" t="n">
        <f aca="false">IF(6&lt;=Assumptions!$E$9,Assumptions!$E$5*H$5,0)</f>
        <v>154</v>
      </c>
      <c r="I6" s="33" t="n">
        <f aca="false">IF(7&lt;=Assumptions!$E$9,Assumptions!$E$5*I$5,0)</f>
        <v>132</v>
      </c>
      <c r="J6" s="33" t="n">
        <f aca="false">IF(8&lt;=Assumptions!$E$9,Assumptions!$E$5*J$5,0)</f>
        <v>88</v>
      </c>
      <c r="K6" s="33" t="n">
        <f aca="false">IF(9&lt;=Assumptions!$E$9,Assumptions!$E$5*K$5,0)</f>
        <v>0</v>
      </c>
      <c r="L6" s="33" t="n">
        <f aca="false">IF(10&lt;=Assumptions!$E$9,Assumptions!$E$5*L$5,0)</f>
        <v>0</v>
      </c>
      <c r="M6" s="33" t="n">
        <f aca="false">SUM(C6:L6)</f>
        <v>1100</v>
      </c>
    </row>
    <row r="7" customFormat="false" ht="15" hidden="false" customHeight="true" outlineLevel="0" collapsed="false">
      <c r="B7" s="1" t="s">
        <v>167</v>
      </c>
      <c r="C7" s="33" t="n">
        <f aca="false">IF(1&lt;=Assumptions!$E$9,Assumptions!$E$6/Assumptions!$E$9,0)</f>
        <v>9.5</v>
      </c>
      <c r="D7" s="33" t="n">
        <f aca="false">IF(2&lt;=Assumptions!$E$9,Assumptions!$E$6/Assumptions!$E$9,0)</f>
        <v>9.5</v>
      </c>
      <c r="E7" s="33" t="n">
        <f aca="false">IF(3&lt;=Assumptions!$E$9,Assumptions!$E$6/Assumptions!$E$9,0)</f>
        <v>9.5</v>
      </c>
      <c r="F7" s="33" t="n">
        <f aca="false">IF(4&lt;=Assumptions!$E$9,Assumptions!$E$6/Assumptions!$E$9,0)</f>
        <v>9.5</v>
      </c>
      <c r="G7" s="33" t="n">
        <f aca="false">IF(5&lt;=Assumptions!$E$9,Assumptions!$E$6/Assumptions!$E$9,0)</f>
        <v>9.5</v>
      </c>
      <c r="H7" s="33" t="n">
        <f aca="false">IF(6&lt;=Assumptions!$E$9,Assumptions!$E$6/Assumptions!$E$9,0)</f>
        <v>9.5</v>
      </c>
      <c r="I7" s="33" t="n">
        <f aca="false">IF(7&lt;=Assumptions!$E$9,Assumptions!$E$6/Assumptions!$E$9,0)</f>
        <v>9.5</v>
      </c>
      <c r="J7" s="33" t="n">
        <f aca="false">IF(8&lt;=Assumptions!$E$9,Assumptions!$E$6/Assumptions!$E$9,0)</f>
        <v>9.5</v>
      </c>
      <c r="K7" s="33" t="n">
        <f aca="false">IF(9&lt;=Assumptions!$E$9,Assumptions!$E$6/Assumptions!$E$9,0)</f>
        <v>9.5</v>
      </c>
      <c r="L7" s="33" t="n">
        <f aca="false">IF(10&lt;=Assumptions!$E$9,Assumptions!$E$6/Assumptions!$E$9,0)</f>
        <v>9.5</v>
      </c>
      <c r="M7" s="33" t="n">
        <f aca="false">SUM(C7:L7)</f>
        <v>95</v>
      </c>
    </row>
    <row r="8" customFormat="false" ht="15" hidden="false" customHeight="true" outlineLevel="0" collapsed="false">
      <c r="B8" s="1" t="s">
        <v>168</v>
      </c>
      <c r="C8" s="33" t="n">
        <f aca="false">C6*Assumptions!$E$7</f>
        <v>6.6</v>
      </c>
      <c r="D8" s="33" t="n">
        <f aca="false">D6*Assumptions!$E$7</f>
        <v>13.2</v>
      </c>
      <c r="E8" s="33" t="n">
        <f aca="false">E6*Assumptions!$E$7</f>
        <v>19.8</v>
      </c>
      <c r="F8" s="33" t="n">
        <f aca="false">F6*Assumptions!$E$7</f>
        <v>23.76</v>
      </c>
      <c r="G8" s="33" t="n">
        <f aca="false">G6*Assumptions!$E$7</f>
        <v>23.76</v>
      </c>
      <c r="H8" s="33" t="n">
        <f aca="false">H6*Assumptions!$E$7</f>
        <v>18.48</v>
      </c>
      <c r="I8" s="33" t="n">
        <f aca="false">I6*Assumptions!$E$7</f>
        <v>15.84</v>
      </c>
      <c r="J8" s="33" t="n">
        <f aca="false">J6*Assumptions!$E$7</f>
        <v>10.56</v>
      </c>
      <c r="K8" s="33" t="n">
        <f aca="false">K6*Assumptions!$E$7</f>
        <v>0</v>
      </c>
      <c r="L8" s="33" t="n">
        <f aca="false">L6*Assumptions!$E$7</f>
        <v>0</v>
      </c>
      <c r="M8" s="33" t="n">
        <f aca="false">SUM(C8:L8)</f>
        <v>132</v>
      </c>
    </row>
    <row r="9" customFormat="false" ht="15" hidden="false" customHeight="true" outlineLevel="0" collapsed="false">
      <c r="B9" s="34" t="s">
        <v>169</v>
      </c>
      <c r="C9" s="35" t="n">
        <f aca="false">SUM(C6:C8)</f>
        <v>71.1</v>
      </c>
      <c r="D9" s="35" t="n">
        <f aca="false">SUM(D6:D8)</f>
        <v>132.7</v>
      </c>
      <c r="E9" s="35" t="n">
        <f aca="false">SUM(E6:E8)</f>
        <v>194.3</v>
      </c>
      <c r="F9" s="35" t="n">
        <f aca="false">SUM(F6:F8)</f>
        <v>231.26</v>
      </c>
      <c r="G9" s="35" t="n">
        <f aca="false">SUM(G6:G8)</f>
        <v>231.26</v>
      </c>
      <c r="H9" s="35" t="n">
        <f aca="false">SUM(H6:H8)</f>
        <v>181.98</v>
      </c>
      <c r="I9" s="35" t="n">
        <f aca="false">SUM(I6:I8)</f>
        <v>157.34</v>
      </c>
      <c r="J9" s="35" t="n">
        <f aca="false">SUM(J6:J8)</f>
        <v>108.06</v>
      </c>
      <c r="K9" s="35" t="n">
        <f aca="false">SUM(K6:K8)</f>
        <v>9.5</v>
      </c>
      <c r="L9" s="35" t="n">
        <f aca="false">SUM(L6:L8)</f>
        <v>9.5</v>
      </c>
      <c r="M9" s="35" t="n">
        <f aca="false">SUM(C9:L9)</f>
        <v>1327</v>
      </c>
    </row>
    <row r="10" customFormat="false" ht="15" hidden="false" customHeight="true" outlineLevel="0" collapsed="false">
      <c r="B10" s="1" t="s">
        <v>170</v>
      </c>
      <c r="C10" s="33" t="n">
        <f aca="false">C9*(1-Assumptions!$E$8)</f>
        <v>24.885</v>
      </c>
      <c r="D10" s="33" t="n">
        <f aca="false">D9*(1-Assumptions!$E$8)</f>
        <v>46.445</v>
      </c>
      <c r="E10" s="33" t="n">
        <f aca="false">E9*(1-Assumptions!$E$8)</f>
        <v>68.005</v>
      </c>
      <c r="F10" s="33" t="n">
        <f aca="false">F9*(1-Assumptions!$E$8)</f>
        <v>80.941</v>
      </c>
      <c r="G10" s="33" t="n">
        <f aca="false">G9*(1-Assumptions!$E$8)</f>
        <v>80.941</v>
      </c>
      <c r="H10" s="33" t="n">
        <f aca="false">H9*(1-Assumptions!$E$8)</f>
        <v>63.693</v>
      </c>
      <c r="I10" s="33" t="n">
        <f aca="false">I9*(1-Assumptions!$E$8)</f>
        <v>55.069</v>
      </c>
      <c r="J10" s="33" t="n">
        <f aca="false">J9*(1-Assumptions!$E$8)</f>
        <v>37.821</v>
      </c>
      <c r="K10" s="33" t="n">
        <f aca="false">K9*(1-Assumptions!$E$8)</f>
        <v>3.325</v>
      </c>
      <c r="L10" s="33" t="n">
        <f aca="false">L9*(1-Assumptions!$E$8)</f>
        <v>3.325</v>
      </c>
      <c r="M10" s="33" t="n">
        <f aca="false">SUM(C10:L10)</f>
        <v>464.45</v>
      </c>
    </row>
    <row r="11" customFormat="false" ht="15" hidden="false" customHeight="true" outlineLevel="0" collapsed="false">
      <c r="B11" s="1" t="s">
        <v>171</v>
      </c>
      <c r="C11" s="33" t="n">
        <f aca="false">C9*Assumptions!$E$8</f>
        <v>46.215</v>
      </c>
      <c r="D11" s="33" t="n">
        <f aca="false">D9*Assumptions!$E$8</f>
        <v>86.255</v>
      </c>
      <c r="E11" s="33" t="n">
        <f aca="false">E9*Assumptions!$E$8</f>
        <v>126.295</v>
      </c>
      <c r="F11" s="33" t="n">
        <f aca="false">F9*Assumptions!$E$8</f>
        <v>150.319</v>
      </c>
      <c r="G11" s="33" t="n">
        <f aca="false">G9*Assumptions!$E$8</f>
        <v>150.319</v>
      </c>
      <c r="H11" s="33" t="n">
        <f aca="false">H9*Assumptions!$E$8</f>
        <v>118.287</v>
      </c>
      <c r="I11" s="33" t="n">
        <f aca="false">I9*Assumptions!$E$8</f>
        <v>102.271</v>
      </c>
      <c r="J11" s="33" t="n">
        <f aca="false">J9*Assumptions!$E$8</f>
        <v>70.239</v>
      </c>
      <c r="K11" s="33" t="n">
        <f aca="false">K9*Assumptions!$E$8</f>
        <v>6.175</v>
      </c>
      <c r="L11" s="33" t="n">
        <f aca="false">L9*Assumptions!$E$8</f>
        <v>6.175</v>
      </c>
      <c r="M11" s="33" t="n">
        <f aca="false">SUM(C11:L11)</f>
        <v>862.55</v>
      </c>
    </row>
    <row r="12" customFormat="false" ht="15" hidden="false" customHeight="true" outlineLevel="0" collapsed="false">
      <c r="B12" s="1" t="s">
        <v>172</v>
      </c>
      <c r="C12" s="33" t="n">
        <v>0</v>
      </c>
      <c r="D12" s="33" t="n">
        <f aca="false">C14</f>
        <v>46.73491875</v>
      </c>
      <c r="E12" s="33" t="n">
        <f aca="false">D14</f>
        <v>135.011823171875</v>
      </c>
      <c r="F12" s="33" t="n">
        <f aca="false">E14</f>
        <v>265.765407943242</v>
      </c>
      <c r="G12" s="33" t="n">
        <f aca="false">F14</f>
        <v>423.755218371965</v>
      </c>
      <c r="H12" s="33" t="n">
        <f aca="false">G14</f>
        <v>585.299799535335</v>
      </c>
      <c r="I12" s="33" t="n">
        <f aca="false">H14</f>
        <v>718.08677377488</v>
      </c>
      <c r="J12" s="33" t="n">
        <f aca="false">I14</f>
        <v>837.665274934814</v>
      </c>
      <c r="K12" s="33" t="n">
        <f aca="false">J14</f>
        <v>927.541932370848</v>
      </c>
      <c r="L12" s="33" t="n">
        <f aca="false">K14</f>
        <v>954.656094599192</v>
      </c>
      <c r="M12" s="33" t="n">
        <f aca="false">SUM(C12:L12)</f>
        <v>4894.51724345215</v>
      </c>
    </row>
    <row r="13" customFormat="false" ht="15" hidden="false" customHeight="true" outlineLevel="0" collapsed="false">
      <c r="B13" s="1" t="s">
        <v>173</v>
      </c>
      <c r="C13" s="33" t="n">
        <f aca="false">(C12+0.5*C11)*Assumptions!$E$10/4</f>
        <v>0.51991875</v>
      </c>
      <c r="D13" s="33" t="n">
        <f aca="false">(D12+0.5*D11)*Assumptions!$E$10/4</f>
        <v>2.021904421875</v>
      </c>
      <c r="E13" s="33" t="n">
        <f aca="false">(E12+0.5*E11)*Assumptions!$E$10/4</f>
        <v>4.45858477136719</v>
      </c>
      <c r="F13" s="33" t="n">
        <f aca="false">(F12+0.5*F11)*Assumptions!$E$10/4</f>
        <v>7.67081042872295</v>
      </c>
      <c r="G13" s="33" t="n">
        <f aca="false">(G12+0.5*G11)*Assumptions!$E$10/4</f>
        <v>11.2255811633692</v>
      </c>
      <c r="H13" s="33" t="n">
        <f aca="false">(H12+0.5*H11)*Assumptions!$E$10/4</f>
        <v>14.499974239545</v>
      </c>
      <c r="I13" s="33" t="n">
        <f aca="false">(I12+0.5*I11)*Assumptions!$E$10/4</f>
        <v>17.3075011599348</v>
      </c>
      <c r="J13" s="33" t="n">
        <f aca="false">(J12+0.5*J11)*Assumptions!$E$10/4</f>
        <v>19.6376574360333</v>
      </c>
      <c r="K13" s="33" t="n">
        <f aca="false">(K12+0.5*K11)*Assumptions!$E$10/4</f>
        <v>20.9391622283441</v>
      </c>
      <c r="L13" s="33" t="n">
        <f aca="false">(L12+0.5*L11)*Assumptions!$E$10/4</f>
        <v>21.5492308784818</v>
      </c>
      <c r="M13" s="33" t="n">
        <f aca="false">SUM(C13:L13)</f>
        <v>119.830325477673</v>
      </c>
    </row>
    <row r="14" customFormat="false" ht="15" hidden="false" customHeight="true" outlineLevel="0" collapsed="false">
      <c r="B14" s="34" t="s">
        <v>174</v>
      </c>
      <c r="C14" s="35" t="n">
        <f aca="false">C12+C11+C13</f>
        <v>46.73491875</v>
      </c>
      <c r="D14" s="35" t="n">
        <f aca="false">D12+D11+D13</f>
        <v>135.011823171875</v>
      </c>
      <c r="E14" s="35" t="n">
        <f aca="false">E12+E11+E13</f>
        <v>265.765407943242</v>
      </c>
      <c r="F14" s="35" t="n">
        <f aca="false">F12+F11+F13</f>
        <v>423.755218371965</v>
      </c>
      <c r="G14" s="35" t="n">
        <f aca="false">G12+G11+G13</f>
        <v>585.299799535335</v>
      </c>
      <c r="H14" s="35" t="n">
        <f aca="false">H12+H11+H13</f>
        <v>718.08677377488</v>
      </c>
      <c r="I14" s="35" t="n">
        <f aca="false">I12+I11+I13</f>
        <v>837.665274934814</v>
      </c>
      <c r="J14" s="35" t="n">
        <f aca="false">J12+J11+J13</f>
        <v>927.541932370848</v>
      </c>
      <c r="K14" s="35" t="n">
        <f aca="false">K12+K11+K13</f>
        <v>954.656094599192</v>
      </c>
      <c r="L14" s="35" t="n">
        <f aca="false">L12+L11+L13</f>
        <v>982.380325477674</v>
      </c>
      <c r="M14" s="35" t="n">
        <f aca="false">L14</f>
        <v>982.380325477674</v>
      </c>
    </row>
    <row r="15" customFormat="false" ht="15" hidden="false" customHeight="true" outlineLevel="0" collapsed="false">
      <c r="B15" s="34" t="s">
        <v>175</v>
      </c>
      <c r="C15" s="35" t="n">
        <f aca="false">C9</f>
        <v>71.1</v>
      </c>
      <c r="D15" s="35" t="n">
        <f aca="false">C15+D9</f>
        <v>203.8</v>
      </c>
      <c r="E15" s="35" t="n">
        <f aca="false">D15+E9</f>
        <v>398.1</v>
      </c>
      <c r="F15" s="35" t="n">
        <f aca="false">E15+F9</f>
        <v>629.36</v>
      </c>
      <c r="G15" s="35" t="n">
        <f aca="false">F15+G9</f>
        <v>860.62</v>
      </c>
      <c r="H15" s="35" t="n">
        <f aca="false">G15+H9</f>
        <v>1042.6</v>
      </c>
      <c r="I15" s="35" t="n">
        <f aca="false">H15+I9</f>
        <v>1199.94</v>
      </c>
      <c r="J15" s="35" t="n">
        <f aca="false">I15+J9</f>
        <v>1308</v>
      </c>
      <c r="K15" s="35" t="n">
        <f aca="false">J15+K9</f>
        <v>1317.5</v>
      </c>
      <c r="L15" s="35" t="n">
        <f aca="false">K15+L9</f>
        <v>1327</v>
      </c>
      <c r="M15" s="35" t="n">
        <f aca="false">L15</f>
        <v>1327</v>
      </c>
    </row>
  </sheetData>
  <mergeCells count="1">
    <mergeCell ref="B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5"/>
    <col collapsed="false" customWidth="true" hidden="false" outlineLevel="0" max="5" min="5" style="1" width="34"/>
    <col collapsed="false" customWidth="true" hidden="false" outlineLevel="0" max="6" min="6" style="1" width="18"/>
    <col collapsed="false" customWidth="true" hidden="false" outlineLevel="0" max="7" min="7" style="1" width="5"/>
  </cols>
  <sheetData>
    <row r="2" customFormat="false" ht="27.75" hidden="false" customHeight="true" outlineLevel="0" collapsed="false">
      <c r="B2" s="2" t="s">
        <v>176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177</v>
      </c>
      <c r="C4" s="16" t="s">
        <v>178</v>
      </c>
      <c r="D4" s="16"/>
      <c r="E4" s="16" t="s">
        <v>179</v>
      </c>
      <c r="F4" s="16" t="s">
        <v>178</v>
      </c>
      <c r="G4" s="16"/>
    </row>
    <row r="5" customFormat="false" ht="15" hidden="false" customHeight="true" outlineLevel="0" collapsed="false">
      <c r="B5" s="1" t="s">
        <v>166</v>
      </c>
      <c r="C5" s="33" t="n">
        <f aca="false">Construction!M6</f>
        <v>1100</v>
      </c>
      <c r="E5" s="1" t="s">
        <v>180</v>
      </c>
      <c r="F5" s="33" t="n">
        <f aca="false">Construction!M14</f>
        <v>982.380325477674</v>
      </c>
    </row>
    <row r="6" customFormat="false" ht="15" hidden="false" customHeight="true" outlineLevel="0" collapsed="false">
      <c r="B6" s="1" t="s">
        <v>167</v>
      </c>
      <c r="C6" s="33" t="n">
        <f aca="false">Construction!M7</f>
        <v>95</v>
      </c>
      <c r="E6" s="1" t="s">
        <v>181</v>
      </c>
      <c r="F6" s="33" t="n">
        <f aca="false">MAX(0,C10-F5)</f>
        <v>523.39281952866</v>
      </c>
    </row>
    <row r="7" customFormat="false" ht="15" hidden="false" customHeight="true" outlineLevel="0" collapsed="false">
      <c r="B7" s="1" t="s">
        <v>168</v>
      </c>
      <c r="C7" s="33" t="n">
        <f aca="false">Construction!M8</f>
        <v>132</v>
      </c>
      <c r="E7" s="1" t="s">
        <v>182</v>
      </c>
      <c r="F7" s="17" t="n">
        <v>0</v>
      </c>
    </row>
    <row r="8" customFormat="false" ht="15" hidden="false" customHeight="true" outlineLevel="0" collapsed="false">
      <c r="B8" s="1" t="s">
        <v>173</v>
      </c>
      <c r="C8" s="33" t="n">
        <f aca="false">Construction!M13</f>
        <v>119.830325477673</v>
      </c>
      <c r="E8" s="34" t="s">
        <v>183</v>
      </c>
      <c r="F8" s="35" t="n">
        <f aca="false">SUM(F5:F7)</f>
        <v>1505.77314500633</v>
      </c>
    </row>
    <row r="9" customFormat="false" ht="15" hidden="false" customHeight="true" outlineLevel="0" collapsed="false">
      <c r="B9" s="1" t="s">
        <v>184</v>
      </c>
      <c r="C9" s="33" t="n">
        <f aca="false">DSRA!C7</f>
        <v>58.9428195286604</v>
      </c>
      <c r="E9" s="1" t="s">
        <v>185</v>
      </c>
      <c r="F9" s="33" t="n">
        <f aca="false">F8-C10</f>
        <v>0</v>
      </c>
    </row>
    <row r="10" customFormat="false" ht="15" hidden="false" customHeight="true" outlineLevel="0" collapsed="false">
      <c r="B10" s="34" t="s">
        <v>186</v>
      </c>
      <c r="C10" s="35" t="n">
        <f aca="false">SUM(C5:C9)</f>
        <v>1505.77314500633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12" min="3" style="1" width="13"/>
  </cols>
  <sheetData>
    <row r="2" customFormat="false" ht="27.75" hidden="false" customHeight="true" outlineLevel="0" collapsed="false">
      <c r="B2" s="2" t="s">
        <v>187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16" t="s">
        <v>128</v>
      </c>
      <c r="C4" s="16" t="s">
        <v>188</v>
      </c>
      <c r="D4" s="16" t="s">
        <v>189</v>
      </c>
      <c r="E4" s="16" t="s">
        <v>190</v>
      </c>
      <c r="F4" s="16" t="s">
        <v>191</v>
      </c>
      <c r="G4" s="16" t="s">
        <v>192</v>
      </c>
      <c r="H4" s="16" t="s">
        <v>193</v>
      </c>
      <c r="I4" s="16" t="s">
        <v>194</v>
      </c>
      <c r="J4" s="16" t="s">
        <v>195</v>
      </c>
      <c r="K4" s="16" t="s">
        <v>196</v>
      </c>
      <c r="L4" s="16" t="s">
        <v>197</v>
      </c>
    </row>
    <row r="5" customFormat="false" ht="15" hidden="false" customHeight="true" outlineLevel="0" collapsed="false">
      <c r="B5" s="1" t="s">
        <v>198</v>
      </c>
      <c r="C5" s="33" t="n">
        <f aca="false">Assumptions!E11</f>
        <v>135</v>
      </c>
      <c r="D5" s="33" t="n">
        <f aca="false">C5*(1+Assumptions!$E$12+Assumptions!$E$24)</f>
        <v>139.05</v>
      </c>
      <c r="E5" s="33" t="n">
        <f aca="false">D5*(1+Assumptions!$E$12+Assumptions!$E$24)</f>
        <v>143.2215</v>
      </c>
      <c r="F5" s="33" t="n">
        <f aca="false">E5*(1+Assumptions!$E$12+Assumptions!$E$24)</f>
        <v>147.518145</v>
      </c>
      <c r="G5" s="33" t="n">
        <f aca="false">F5*(1+Assumptions!$E$12+Assumptions!$E$24)</f>
        <v>151.94368935</v>
      </c>
      <c r="H5" s="33" t="n">
        <f aca="false">G5*(1+Assumptions!$E$12+Assumptions!$E$24)</f>
        <v>156.5020000305</v>
      </c>
      <c r="I5" s="33" t="n">
        <f aca="false">H5*(1+Assumptions!$E$12+Assumptions!$E$24)</f>
        <v>161.197060031415</v>
      </c>
      <c r="J5" s="33" t="n">
        <f aca="false">I5*(1+Assumptions!$E$12+Assumptions!$E$24)</f>
        <v>166.032971832357</v>
      </c>
      <c r="K5" s="33" t="n">
        <f aca="false">J5*(1+Assumptions!$E$12+Assumptions!$E$24)</f>
        <v>171.013960987328</v>
      </c>
      <c r="L5" s="33" t="n">
        <f aca="false">K5*(1+Assumptions!$E$12+Assumptions!$E$24)</f>
        <v>176.144379816948</v>
      </c>
    </row>
    <row r="6" customFormat="false" ht="15" hidden="false" customHeight="true" outlineLevel="0" collapsed="false">
      <c r="B6" s="1" t="s">
        <v>199</v>
      </c>
      <c r="C6" s="33" t="n">
        <f aca="false">C5*Assumptions!$E$23</f>
        <v>97.2</v>
      </c>
      <c r="D6" s="33" t="n">
        <f aca="false">D5*Assumptions!$E$23</f>
        <v>100.116</v>
      </c>
      <c r="E6" s="33" t="n">
        <f aca="false">E5*Assumptions!$E$23</f>
        <v>103.11948</v>
      </c>
      <c r="F6" s="33" t="n">
        <f aca="false">F5*Assumptions!$E$23</f>
        <v>106.2130644</v>
      </c>
      <c r="G6" s="33" t="n">
        <f aca="false">G5*Assumptions!$E$23</f>
        <v>109.399456332</v>
      </c>
      <c r="H6" s="33" t="n">
        <f aca="false">H5*Assumptions!$E$23</f>
        <v>112.68144002196</v>
      </c>
      <c r="I6" s="33" t="n">
        <f aca="false">I5*Assumptions!$E$23</f>
        <v>116.061883222619</v>
      </c>
      <c r="J6" s="33" t="n">
        <f aca="false">J5*Assumptions!$E$23</f>
        <v>119.543739719297</v>
      </c>
      <c r="K6" s="33" t="n">
        <f aca="false">K5*Assumptions!$E$23</f>
        <v>123.130051910876</v>
      </c>
      <c r="L6" s="33" t="n">
        <f aca="false">L5*Assumptions!$E$23</f>
        <v>126.823953468203</v>
      </c>
    </row>
    <row r="7" customFormat="false" ht="15" hidden="false" customHeight="true" outlineLevel="0" collapsed="false">
      <c r="B7" s="1" t="s">
        <v>200</v>
      </c>
      <c r="C7" s="33" t="n">
        <f aca="false">C6*Assumptions!$E$13</f>
        <v>34.992</v>
      </c>
      <c r="D7" s="33" t="n">
        <f aca="false">D6*Assumptions!$E$13</f>
        <v>36.04176</v>
      </c>
      <c r="E7" s="33" t="n">
        <f aca="false">E6*Assumptions!$E$13</f>
        <v>37.1230128</v>
      </c>
      <c r="F7" s="33" t="n">
        <f aca="false">F6*Assumptions!$E$13</f>
        <v>38.236703184</v>
      </c>
      <c r="G7" s="33" t="n">
        <f aca="false">G6*Assumptions!$E$13</f>
        <v>39.38380427952</v>
      </c>
      <c r="H7" s="33" t="n">
        <f aca="false">H6*Assumptions!$E$13</f>
        <v>40.5653184079056</v>
      </c>
      <c r="I7" s="33" t="n">
        <f aca="false">I6*Assumptions!$E$13</f>
        <v>41.7822779601428</v>
      </c>
      <c r="J7" s="33" t="n">
        <f aca="false">J6*Assumptions!$E$13</f>
        <v>43.0357462989471</v>
      </c>
      <c r="K7" s="33" t="n">
        <f aca="false">K6*Assumptions!$E$13</f>
        <v>44.3268186879155</v>
      </c>
      <c r="L7" s="33" t="n">
        <f aca="false">L6*Assumptions!$E$13</f>
        <v>45.6566232485529</v>
      </c>
    </row>
    <row r="8" customFormat="false" ht="15" hidden="false" customHeight="true" outlineLevel="0" collapsed="false">
      <c r="B8" s="34" t="s">
        <v>201</v>
      </c>
      <c r="C8" s="35" t="n">
        <f aca="false">C6-C7</f>
        <v>62.208</v>
      </c>
      <c r="D8" s="35" t="n">
        <f aca="false">D6-D7</f>
        <v>64.07424</v>
      </c>
      <c r="E8" s="35" t="n">
        <f aca="false">E6-E7</f>
        <v>65.9964672</v>
      </c>
      <c r="F8" s="35" t="n">
        <f aca="false">F6-F7</f>
        <v>67.976361216</v>
      </c>
      <c r="G8" s="35" t="n">
        <f aca="false">G6-G7</f>
        <v>70.01565205248</v>
      </c>
      <c r="H8" s="35" t="n">
        <f aca="false">H6-H7</f>
        <v>72.1161216140544</v>
      </c>
      <c r="I8" s="35" t="n">
        <f aca="false">I6-I7</f>
        <v>74.279605262476</v>
      </c>
      <c r="J8" s="35" t="n">
        <f aca="false">J6-J7</f>
        <v>76.5079934203503</v>
      </c>
      <c r="K8" s="35" t="n">
        <f aca="false">K6-K7</f>
        <v>78.8032332229608</v>
      </c>
      <c r="L8" s="35" t="n">
        <f aca="false">L6-L7</f>
        <v>81.1673302196497</v>
      </c>
    </row>
    <row r="9" customFormat="false" ht="15" hidden="false" customHeight="true" outlineLevel="0" collapsed="false">
      <c r="B9" s="1" t="s">
        <v>202</v>
      </c>
      <c r="C9" s="33" t="n">
        <f aca="false">MAX(0,C8*Assumptions!$E$15)</f>
        <v>6.2208</v>
      </c>
      <c r="D9" s="33" t="n">
        <f aca="false">MAX(0,D8*Assumptions!$E$15)</f>
        <v>6.407424</v>
      </c>
      <c r="E9" s="33" t="n">
        <f aca="false">MAX(0,E8*Assumptions!$E$15)</f>
        <v>6.59964672</v>
      </c>
      <c r="F9" s="33" t="n">
        <f aca="false">MAX(0,F8*Assumptions!$E$15)</f>
        <v>6.7976361216</v>
      </c>
      <c r="G9" s="33" t="n">
        <f aca="false">MAX(0,G8*Assumptions!$E$15)</f>
        <v>7.001565205248</v>
      </c>
      <c r="H9" s="33" t="n">
        <f aca="false">MAX(0,H8*Assumptions!$E$15)</f>
        <v>7.21161216140544</v>
      </c>
      <c r="I9" s="33" t="n">
        <f aca="false">MAX(0,I8*Assumptions!$E$15)</f>
        <v>7.4279605262476</v>
      </c>
      <c r="J9" s="33" t="n">
        <f aca="false">MAX(0,J8*Assumptions!$E$15)</f>
        <v>7.65079934203503</v>
      </c>
      <c r="K9" s="33" t="n">
        <f aca="false">MAX(0,K8*Assumptions!$E$15)</f>
        <v>7.88032332229609</v>
      </c>
      <c r="L9" s="33" t="n">
        <f aca="false">MAX(0,L8*Assumptions!$E$15)</f>
        <v>8.11673302196497</v>
      </c>
    </row>
    <row r="10" customFormat="false" ht="15" hidden="false" customHeight="true" outlineLevel="0" collapsed="false">
      <c r="B10" s="1" t="s">
        <v>203</v>
      </c>
      <c r="C10" s="33" t="n">
        <f aca="false">C6*Assumptions!$E$14</f>
        <v>4.86</v>
      </c>
      <c r="D10" s="33" t="n">
        <f aca="false">D6*Assumptions!$E$14</f>
        <v>5.0058</v>
      </c>
      <c r="E10" s="33" t="n">
        <f aca="false">E6*Assumptions!$E$14</f>
        <v>5.155974</v>
      </c>
      <c r="F10" s="33" t="n">
        <f aca="false">F6*Assumptions!$E$14</f>
        <v>5.31065322</v>
      </c>
      <c r="G10" s="33" t="n">
        <f aca="false">G6*Assumptions!$E$14</f>
        <v>5.4699728166</v>
      </c>
      <c r="H10" s="33" t="n">
        <f aca="false">H6*Assumptions!$E$14</f>
        <v>5.634072001098</v>
      </c>
      <c r="I10" s="33" t="n">
        <f aca="false">I6*Assumptions!$E$14</f>
        <v>5.80309416113094</v>
      </c>
      <c r="J10" s="33" t="n">
        <f aca="false">J6*Assumptions!$E$14</f>
        <v>5.97718698596487</v>
      </c>
      <c r="K10" s="33" t="n">
        <f aca="false">K6*Assumptions!$E$14</f>
        <v>6.15650259554382</v>
      </c>
      <c r="L10" s="33" t="n">
        <f aca="false">L6*Assumptions!$E$14</f>
        <v>6.34119767341013</v>
      </c>
    </row>
    <row r="11" customFormat="false" ht="15" hidden="false" customHeight="true" outlineLevel="0" collapsed="false">
      <c r="B11" s="1" t="s">
        <v>204</v>
      </c>
      <c r="C11" s="33" t="n">
        <f aca="false">Assumptions!$E$22</f>
        <v>4</v>
      </c>
      <c r="D11" s="33" t="n">
        <f aca="false">Assumptions!$E$22</f>
        <v>4</v>
      </c>
      <c r="E11" s="33" t="n">
        <f aca="false">Assumptions!$E$22</f>
        <v>4</v>
      </c>
      <c r="F11" s="33" t="n">
        <f aca="false">Assumptions!$E$22</f>
        <v>4</v>
      </c>
      <c r="G11" s="33" t="n">
        <f aca="false">Assumptions!$E$22</f>
        <v>4</v>
      </c>
      <c r="H11" s="33" t="n">
        <f aca="false">Assumptions!$E$22</f>
        <v>4</v>
      </c>
      <c r="I11" s="33" t="n">
        <f aca="false">Assumptions!$E$22</f>
        <v>4</v>
      </c>
      <c r="J11" s="33" t="n">
        <f aca="false">Assumptions!$E$22</f>
        <v>4</v>
      </c>
      <c r="K11" s="33" t="n">
        <f aca="false">Assumptions!$E$22</f>
        <v>4</v>
      </c>
      <c r="L11" s="33" t="n">
        <f aca="false">Assumptions!$E$22</f>
        <v>4</v>
      </c>
    </row>
    <row r="12" customFormat="false" ht="15" hidden="false" customHeight="true" outlineLevel="0" collapsed="false">
      <c r="B12" s="34" t="s">
        <v>205</v>
      </c>
      <c r="C12" s="35" t="n">
        <f aca="false">C8-C9-C10-C11</f>
        <v>47.1272</v>
      </c>
      <c r="D12" s="35" t="n">
        <f aca="false">D8-D9-D10-D11</f>
        <v>48.661016</v>
      </c>
      <c r="E12" s="35" t="n">
        <f aca="false">E8-E9-E10-E11</f>
        <v>50.24084648</v>
      </c>
      <c r="F12" s="35" t="n">
        <f aca="false">F8-F9-F10-F11</f>
        <v>51.8680718744</v>
      </c>
      <c r="G12" s="35" t="n">
        <f aca="false">G8-G9-G10-G11</f>
        <v>53.544114030632</v>
      </c>
      <c r="H12" s="35" t="n">
        <f aca="false">H8-H9-H10-H11</f>
        <v>55.270437451551</v>
      </c>
      <c r="I12" s="35" t="n">
        <f aca="false">I8-I9-I10-I11</f>
        <v>57.0485505750975</v>
      </c>
      <c r="J12" s="35" t="n">
        <f aca="false">J8-J9-J10-J11</f>
        <v>58.8800070923504</v>
      </c>
      <c r="K12" s="35" t="n">
        <f aca="false">K8-K9-K10-K11</f>
        <v>60.766407305121</v>
      </c>
      <c r="L12" s="35" t="n">
        <f aca="false">L8-L9-L10-L11</f>
        <v>62.7093995242746</v>
      </c>
    </row>
  </sheetData>
  <mergeCells count="1">
    <mergeCell ref="B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4"/>
    <col collapsed="false" customWidth="true" hidden="false" outlineLevel="0" max="12" min="3" style="1" width="13"/>
  </cols>
  <sheetData>
    <row r="2" customFormat="false" ht="27.75" hidden="false" customHeight="true" outlineLevel="0" collapsed="false">
      <c r="B2" s="2" t="s">
        <v>206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16" t="s">
        <v>207</v>
      </c>
      <c r="C4" s="16" t="s">
        <v>188</v>
      </c>
      <c r="D4" s="16" t="s">
        <v>189</v>
      </c>
      <c r="E4" s="16" t="s">
        <v>190</v>
      </c>
      <c r="F4" s="16" t="s">
        <v>191</v>
      </c>
      <c r="G4" s="16" t="s">
        <v>192</v>
      </c>
      <c r="H4" s="16" t="s">
        <v>193</v>
      </c>
      <c r="I4" s="16" t="s">
        <v>194</v>
      </c>
      <c r="J4" s="16" t="s">
        <v>195</v>
      </c>
      <c r="K4" s="16" t="s">
        <v>196</v>
      </c>
      <c r="L4" s="16" t="s">
        <v>197</v>
      </c>
    </row>
    <row r="5" customFormat="false" ht="15" hidden="false" customHeight="true" outlineLevel="0" collapsed="false">
      <c r="B5" s="1" t="s">
        <v>208</v>
      </c>
      <c r="C5" s="33" t="n">
        <f aca="false">Construction!M14</f>
        <v>982.380325477674</v>
      </c>
      <c r="D5" s="33" t="n">
        <f aca="false">C9</f>
        <v>982.380325477674</v>
      </c>
      <c r="E5" s="33" t="n">
        <f aca="false">D9</f>
        <v>982.380325477674</v>
      </c>
      <c r="F5" s="33" t="n">
        <f aca="false">E9</f>
        <v>982.380325477674</v>
      </c>
      <c r="G5" s="33" t="n">
        <f aca="false">F9</f>
        <v>982.380325477674</v>
      </c>
      <c r="H5" s="33" t="n">
        <f aca="false">G9</f>
        <v>982.380325477674</v>
      </c>
      <c r="I5" s="33" t="n">
        <f aca="false">H9</f>
        <v>982.380325477674</v>
      </c>
      <c r="J5" s="33" t="n">
        <f aca="false">I9</f>
        <v>982.380325477674</v>
      </c>
      <c r="K5" s="33" t="n">
        <f aca="false">J9</f>
        <v>982.380325477674</v>
      </c>
      <c r="L5" s="33" t="n">
        <f aca="false">K9</f>
        <v>982.380325477674</v>
      </c>
    </row>
    <row r="6" customFormat="false" ht="15" hidden="false" customHeight="true" outlineLevel="0" collapsed="false">
      <c r="B6" s="1" t="s">
        <v>209</v>
      </c>
      <c r="C6" s="33" t="n">
        <f aca="false">C5*Assumptions!$E$18</f>
        <v>78.5904260382139</v>
      </c>
      <c r="D6" s="33" t="n">
        <f aca="false">D5*Assumptions!$E$18</f>
        <v>78.5904260382139</v>
      </c>
      <c r="E6" s="33" t="n">
        <f aca="false">E5*Assumptions!$E$18</f>
        <v>78.5904260382139</v>
      </c>
      <c r="F6" s="33" t="n">
        <f aca="false">F5*Assumptions!$E$18</f>
        <v>78.5904260382139</v>
      </c>
      <c r="G6" s="33" t="n">
        <f aca="false">G5*Assumptions!$E$18</f>
        <v>78.5904260382139</v>
      </c>
      <c r="H6" s="33" t="n">
        <f aca="false">H5*Assumptions!$E$18</f>
        <v>78.5904260382139</v>
      </c>
      <c r="I6" s="33" t="n">
        <f aca="false">I5*Assumptions!$E$18</f>
        <v>78.5904260382139</v>
      </c>
      <c r="J6" s="33" t="n">
        <f aca="false">J5*Assumptions!$E$18</f>
        <v>78.5904260382139</v>
      </c>
      <c r="K6" s="33" t="n">
        <f aca="false">K5*Assumptions!$E$18</f>
        <v>78.5904260382139</v>
      </c>
      <c r="L6" s="33" t="n">
        <f aca="false">L5*Assumptions!$E$18</f>
        <v>78.5904260382139</v>
      </c>
    </row>
    <row r="7" customFormat="false" ht="15" hidden="false" customHeight="true" outlineLevel="0" collapsed="false">
      <c r="B7" s="1" t="s">
        <v>210</v>
      </c>
      <c r="C7" s="33" t="n">
        <f aca="false">Operations!C12/Assumptions!$E$16</f>
        <v>32.5015172413793</v>
      </c>
      <c r="D7" s="33" t="n">
        <f aca="false">Operations!D12/Assumptions!$E$16</f>
        <v>33.5593213793104</v>
      </c>
      <c r="E7" s="33" t="n">
        <f aca="false">Operations!E12/Assumptions!$E$16</f>
        <v>34.6488596413793</v>
      </c>
      <c r="F7" s="33" t="n">
        <f aca="false">Operations!F12/Assumptions!$E$16</f>
        <v>35.7710840513104</v>
      </c>
      <c r="G7" s="33" t="n">
        <f aca="false">Operations!G12/Assumptions!$E$16</f>
        <v>36.9269751935393</v>
      </c>
      <c r="H7" s="33" t="n">
        <f aca="false">Operations!H12/Assumptions!$E$16</f>
        <v>38.1175430700352</v>
      </c>
      <c r="I7" s="33" t="n">
        <f aca="false">Operations!I12/Assumptions!$E$16</f>
        <v>39.3438279828259</v>
      </c>
      <c r="J7" s="33" t="n">
        <f aca="false">Operations!J12/Assumptions!$E$16</f>
        <v>40.6069014430003</v>
      </c>
      <c r="K7" s="33" t="n">
        <f aca="false">Operations!K12/Assumptions!$E$16</f>
        <v>41.90786710698</v>
      </c>
      <c r="L7" s="33" t="n">
        <f aca="false">Operations!L12/Assumptions!$E$16</f>
        <v>43.247861740879</v>
      </c>
    </row>
    <row r="8" customFormat="false" ht="15" hidden="false" customHeight="true" outlineLevel="0" collapsed="false">
      <c r="B8" s="1" t="s">
        <v>211</v>
      </c>
      <c r="C8" s="33" t="n">
        <f aca="false">MIN(C5,MAX(0,MAX(0,C7-C6)))</f>
        <v>0</v>
      </c>
      <c r="D8" s="33" t="n">
        <f aca="false">MIN(D5,MAX(0,MAX(0,D7-D6)))</f>
        <v>0</v>
      </c>
      <c r="E8" s="33" t="n">
        <f aca="false">MIN(E5,MAX(0,MAX(0,E7-E6)))</f>
        <v>0</v>
      </c>
      <c r="F8" s="33" t="n">
        <f aca="false">MIN(F5,MAX(0,MAX(0,F7-F6)))</f>
        <v>0</v>
      </c>
      <c r="G8" s="33" t="n">
        <f aca="false">MIN(G5,MAX(0,MAX(0,G7-G6)))</f>
        <v>0</v>
      </c>
      <c r="H8" s="33" t="n">
        <f aca="false">MIN(H5,MAX(0,MAX(0,H7-H6)))</f>
        <v>0</v>
      </c>
      <c r="I8" s="33" t="n">
        <f aca="false">MIN(I5,MAX(0,MAX(0,I7-I6)))</f>
        <v>0</v>
      </c>
      <c r="J8" s="33" t="n">
        <f aca="false">MIN(J5,MAX(0,MAX(0,J7-J6)))</f>
        <v>0</v>
      </c>
      <c r="K8" s="33" t="n">
        <f aca="false">MIN(K5,MAX(0,MAX(0,K7-K6)))</f>
        <v>0</v>
      </c>
      <c r="L8" s="33" t="n">
        <f aca="false">MIN(L5,MAX(L5,MAX(0,L7-L6)))</f>
        <v>982.380325477674</v>
      </c>
    </row>
    <row r="9" customFormat="false" ht="15" hidden="false" customHeight="true" outlineLevel="0" collapsed="false">
      <c r="B9" s="34" t="s">
        <v>212</v>
      </c>
      <c r="C9" s="35" t="n">
        <f aca="false">MAX(0,C5-C8)</f>
        <v>982.380325477674</v>
      </c>
      <c r="D9" s="35" t="n">
        <f aca="false">MAX(0,D5-D8)</f>
        <v>982.380325477674</v>
      </c>
      <c r="E9" s="35" t="n">
        <f aca="false">MAX(0,E5-E8)</f>
        <v>982.380325477674</v>
      </c>
      <c r="F9" s="35" t="n">
        <f aca="false">MAX(0,F5-F8)</f>
        <v>982.380325477674</v>
      </c>
      <c r="G9" s="35" t="n">
        <f aca="false">MAX(0,G5-G8)</f>
        <v>982.380325477674</v>
      </c>
      <c r="H9" s="35" t="n">
        <f aca="false">MAX(0,H5-H8)</f>
        <v>982.380325477674</v>
      </c>
      <c r="I9" s="35" t="n">
        <f aca="false">MAX(0,I5-I8)</f>
        <v>982.380325477674</v>
      </c>
      <c r="J9" s="35" t="n">
        <f aca="false">MAX(0,J5-J8)</f>
        <v>982.380325477674</v>
      </c>
      <c r="K9" s="35" t="n">
        <f aca="false">MAX(0,K5-K8)</f>
        <v>982.380325477674</v>
      </c>
      <c r="L9" s="35" t="n">
        <f aca="false">MAX(0,L5-L8)</f>
        <v>0</v>
      </c>
    </row>
    <row r="10" customFormat="false" ht="15" hidden="false" customHeight="true" outlineLevel="0" collapsed="false">
      <c r="B10" s="34" t="s">
        <v>213</v>
      </c>
      <c r="C10" s="35" t="n">
        <f aca="false">C6+C8</f>
        <v>78.5904260382139</v>
      </c>
      <c r="D10" s="35" t="n">
        <f aca="false">D6+D8</f>
        <v>78.5904260382139</v>
      </c>
      <c r="E10" s="35" t="n">
        <f aca="false">E6+E8</f>
        <v>78.5904260382139</v>
      </c>
      <c r="F10" s="35" t="n">
        <f aca="false">F6+F8</f>
        <v>78.5904260382139</v>
      </c>
      <c r="G10" s="35" t="n">
        <f aca="false">G6+G8</f>
        <v>78.5904260382139</v>
      </c>
      <c r="H10" s="35" t="n">
        <f aca="false">H6+H8</f>
        <v>78.5904260382139</v>
      </c>
      <c r="I10" s="35" t="n">
        <f aca="false">I6+I8</f>
        <v>78.5904260382139</v>
      </c>
      <c r="J10" s="35" t="n">
        <f aca="false">J6+J8</f>
        <v>78.5904260382139</v>
      </c>
      <c r="K10" s="35" t="n">
        <f aca="false">K6+K8</f>
        <v>78.5904260382139</v>
      </c>
      <c r="L10" s="35" t="n">
        <f aca="false">L6+L8</f>
        <v>1060.97075151589</v>
      </c>
    </row>
    <row r="11" customFormat="false" ht="15" hidden="false" customHeight="true" outlineLevel="0" collapsed="false">
      <c r="B11" s="1" t="s">
        <v>205</v>
      </c>
      <c r="C11" s="33" t="n">
        <f aca="false">Operations!C12</f>
        <v>47.1272</v>
      </c>
      <c r="D11" s="33" t="n">
        <f aca="false">Operations!D12</f>
        <v>48.661016</v>
      </c>
      <c r="E11" s="33" t="n">
        <f aca="false">Operations!E12</f>
        <v>50.24084648</v>
      </c>
      <c r="F11" s="33" t="n">
        <f aca="false">Operations!F12</f>
        <v>51.8680718744</v>
      </c>
      <c r="G11" s="33" t="n">
        <f aca="false">Operations!G12</f>
        <v>53.544114030632</v>
      </c>
      <c r="H11" s="33" t="n">
        <f aca="false">Operations!H12</f>
        <v>55.270437451551</v>
      </c>
      <c r="I11" s="33" t="n">
        <f aca="false">Operations!I12</f>
        <v>57.0485505750975</v>
      </c>
      <c r="J11" s="33" t="n">
        <f aca="false">Operations!J12</f>
        <v>58.8800070923504</v>
      </c>
      <c r="K11" s="33" t="n">
        <f aca="false">Operations!K12</f>
        <v>60.766407305121</v>
      </c>
      <c r="L11" s="33" t="n">
        <f aca="false">Operations!L12</f>
        <v>62.7093995242746</v>
      </c>
    </row>
    <row r="12" customFormat="false" ht="15" hidden="false" customHeight="true" outlineLevel="0" collapsed="false">
      <c r="B12" s="1" t="s">
        <v>214</v>
      </c>
      <c r="C12" s="36" t="n">
        <f aca="false">IFERROR(C11/C10,0)</f>
        <v>0.599655738945668</v>
      </c>
      <c r="D12" s="36" t="n">
        <f aca="false">IFERROR(D11/D10,0)</f>
        <v>0.619172314657501</v>
      </c>
      <c r="E12" s="36" t="n">
        <f aca="false">IFERROR(E11/E10,0)</f>
        <v>0.639274387640689</v>
      </c>
      <c r="F12" s="36" t="n">
        <f aca="false">IFERROR(F11/F10,0)</f>
        <v>0.659979522813372</v>
      </c>
      <c r="G12" s="36" t="n">
        <f aca="false">IFERROR(G11/G10,0)</f>
        <v>0.681305812041236</v>
      </c>
      <c r="H12" s="36" t="n">
        <f aca="false">IFERROR(H11/H10,0)</f>
        <v>0.703271889945936</v>
      </c>
      <c r="I12" s="36" t="n">
        <f aca="false">IFERROR(I11/I10,0)</f>
        <v>0.725896950187777</v>
      </c>
      <c r="J12" s="36" t="n">
        <f aca="false">IFERROR(J11/J10,0)</f>
        <v>0.749200762236873</v>
      </c>
      <c r="K12" s="36" t="n">
        <f aca="false">IFERROR(K11/K10,0)</f>
        <v>0.773203688647442</v>
      </c>
      <c r="L12" s="36" t="n">
        <f aca="false">IFERROR(L11/L10,0)</f>
        <v>0.0591056816926169</v>
      </c>
    </row>
    <row r="13" customFormat="false" ht="15" hidden="false" customHeight="true" outlineLevel="0" collapsed="false">
      <c r="B13" s="1" t="s">
        <v>215</v>
      </c>
      <c r="C13" s="37" t="n">
        <f aca="false">1/(1+Assumptions!$E$21)^1</f>
        <v>0.921658986175115</v>
      </c>
      <c r="D13" s="37" t="n">
        <f aca="false">1/(1+Assumptions!$E$21)^2</f>
        <v>0.849455286797341</v>
      </c>
      <c r="E13" s="37" t="n">
        <f aca="false">1/(1+Assumptions!$E$21)^3</f>
        <v>0.782908098430729</v>
      </c>
      <c r="F13" s="37" t="n">
        <f aca="false">1/(1+Assumptions!$E$21)^4</f>
        <v>0.721574284267953</v>
      </c>
      <c r="G13" s="37" t="n">
        <f aca="false">1/(1+Assumptions!$E$21)^5</f>
        <v>0.665045423288436</v>
      </c>
      <c r="H13" s="37" t="n">
        <f aca="false">1/(1+Assumptions!$E$21)^6</f>
        <v>0.612945090588421</v>
      </c>
      <c r="I13" s="37" t="n">
        <f aca="false">1/(1+Assumptions!$E$21)^7</f>
        <v>0.564926350772738</v>
      </c>
      <c r="J13" s="37" t="n">
        <f aca="false">1/(1+Assumptions!$E$21)^8</f>
        <v>0.520669447716809</v>
      </c>
      <c r="K13" s="37" t="n">
        <f aca="false">1/(1+Assumptions!$E$21)^9</f>
        <v>0.479879675315031</v>
      </c>
      <c r="L13" s="37" t="n">
        <f aca="false">1/(1+Assumptions!$E$21)^10</f>
        <v>0.442285415036895</v>
      </c>
    </row>
    <row r="14" customFormat="false" ht="15" hidden="false" customHeight="true" outlineLevel="0" collapsed="false">
      <c r="B14" s="1" t="s">
        <v>216</v>
      </c>
      <c r="C14" s="33" t="n">
        <f aca="false">C11*C13</f>
        <v>43.4352073732719</v>
      </c>
      <c r="D14" s="33" t="n">
        <f aca="false">D11*D13</f>
        <v>41.33535730213</v>
      </c>
      <c r="E14" s="33" t="n">
        <f aca="false">E11*E13</f>
        <v>39.333965581207</v>
      </c>
      <c r="F14" s="33" t="n">
        <f aca="false">F11*F13</f>
        <v>37.426666839129</v>
      </c>
      <c r="G14" s="33" t="n">
        <f aca="false">G11*G13</f>
        <v>35.609267980106</v>
      </c>
      <c r="H14" s="33" t="n">
        <f aca="false">H11*H13</f>
        <v>33.8777432906025</v>
      </c>
      <c r="I14" s="33" t="n">
        <f aca="false">I11*I13</f>
        <v>32.2282294932638</v>
      </c>
      <c r="J14" s="33" t="n">
        <f aca="false">J11*J13</f>
        <v>30.6570207743359</v>
      </c>
      <c r="K14" s="33" t="n">
        <f aca="false">K11*K13</f>
        <v>29.1605638076424</v>
      </c>
      <c r="L14" s="33" t="n">
        <f aca="false">L11*L13</f>
        <v>27.7354527953083</v>
      </c>
    </row>
    <row r="15" customFormat="false" ht="15" hidden="false" customHeight="true" outlineLevel="0" collapsed="false">
      <c r="B15" s="1" t="s">
        <v>217</v>
      </c>
      <c r="C15" s="36" t="n">
        <f aca="false">IFERROR(SUM(C14:$L$14)/C5,0)</f>
        <v>0.357091307856174</v>
      </c>
      <c r="D15" s="36" t="n">
        <f aca="false">IFERROR(SUM(D14:$L$14)/D5,0)</f>
        <v>0.312877059823314</v>
      </c>
      <c r="E15" s="36" t="n">
        <f aca="false">IFERROR(SUM(E14:$L$14)/E5,0)</f>
        <v>0.270800324133365</v>
      </c>
      <c r="F15" s="36" t="n">
        <f aca="false">IFERROR(SUM(F14:$L$14)/F5,0)</f>
        <v>0.230760876517106</v>
      </c>
      <c r="G15" s="36" t="n">
        <f aca="false">IFERROR(SUM(G14:$L$14)/G5,0)</f>
        <v>0.192662936372661</v>
      </c>
      <c r="H15" s="36" t="n">
        <f aca="false">IFERROR(SUM(H14:$L$14)/H5,0)</f>
        <v>0.156414991400034</v>
      </c>
      <c r="I15" s="36" t="n">
        <f aca="false">IFERROR(SUM(I14:$L$14)/I5,0)</f>
        <v>0.121929627216738</v>
      </c>
      <c r="J15" s="36" t="n">
        <f aca="false">IFERROR(SUM(J14:$L$14)/J5,0)</f>
        <v>0.0891233620082066</v>
      </c>
      <c r="K15" s="36" t="n">
        <f aca="false">IFERROR(SUM(K14:$L$14)/K5,0)</f>
        <v>0.0579164862399758</v>
      </c>
      <c r="L15" s="36" t="n">
        <f aca="false">IFERROR(SUM(L14:$L$14)/L5,0)</f>
        <v>0.0282329074351343</v>
      </c>
    </row>
  </sheetData>
  <mergeCells count="1">
    <mergeCell ref="B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12" min="3" style="1" width="13"/>
  </cols>
  <sheetData>
    <row r="2" customFormat="false" ht="27.75" hidden="false" customHeight="true" outlineLevel="0" collapsed="false">
      <c r="B2" s="2" t="s">
        <v>218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16" t="s">
        <v>128</v>
      </c>
      <c r="C4" s="16" t="s">
        <v>188</v>
      </c>
      <c r="D4" s="16" t="s">
        <v>189</v>
      </c>
      <c r="E4" s="16" t="s">
        <v>190</v>
      </c>
      <c r="F4" s="16" t="s">
        <v>191</v>
      </c>
      <c r="G4" s="16" t="s">
        <v>192</v>
      </c>
      <c r="H4" s="16" t="s">
        <v>193</v>
      </c>
      <c r="I4" s="16" t="s">
        <v>194</v>
      </c>
      <c r="J4" s="16" t="s">
        <v>195</v>
      </c>
      <c r="K4" s="16" t="s">
        <v>196</v>
      </c>
      <c r="L4" s="16" t="s">
        <v>197</v>
      </c>
    </row>
    <row r="5" customFormat="false" ht="15" hidden="false" customHeight="true" outlineLevel="0" collapsed="false">
      <c r="B5" s="1" t="s">
        <v>219</v>
      </c>
      <c r="C5" s="33" t="n">
        <f aca="false">'Debt Sculpting'!D10</f>
        <v>78.5904260382139</v>
      </c>
      <c r="D5" s="33" t="n">
        <f aca="false">'Debt Sculpting'!E10</f>
        <v>78.5904260382139</v>
      </c>
      <c r="E5" s="33" t="n">
        <f aca="false">'Debt Sculpting'!F10</f>
        <v>78.5904260382139</v>
      </c>
      <c r="F5" s="33" t="n">
        <f aca="false">'Debt Sculpting'!G10</f>
        <v>78.5904260382139</v>
      </c>
      <c r="G5" s="33" t="n">
        <f aca="false">'Debt Sculpting'!H10</f>
        <v>78.5904260382139</v>
      </c>
      <c r="H5" s="33" t="n">
        <f aca="false">'Debt Sculpting'!I10</f>
        <v>78.5904260382139</v>
      </c>
      <c r="I5" s="33" t="n">
        <f aca="false">'Debt Sculpting'!J10</f>
        <v>78.5904260382139</v>
      </c>
      <c r="J5" s="33" t="n">
        <f aca="false">'Debt Sculpting'!K10</f>
        <v>78.5904260382139</v>
      </c>
      <c r="K5" s="33" t="n">
        <f aca="false">'Debt Sculpting'!L10</f>
        <v>1060.97075151589</v>
      </c>
      <c r="L5" s="33" t="n">
        <f aca="false">'Debt Sculpting'!L10</f>
        <v>1060.97075151589</v>
      </c>
    </row>
    <row r="6" customFormat="false" ht="15" hidden="false" customHeight="true" outlineLevel="0" collapsed="false">
      <c r="B6" s="1" t="s">
        <v>220</v>
      </c>
      <c r="C6" s="33" t="n">
        <f aca="false">C5*Assumptions!$E$20/12</f>
        <v>58.9428195286604</v>
      </c>
      <c r="D6" s="33" t="n">
        <f aca="false">D5*Assumptions!$E$20/12</f>
        <v>58.9428195286604</v>
      </c>
      <c r="E6" s="33" t="n">
        <f aca="false">E5*Assumptions!$E$20/12</f>
        <v>58.9428195286604</v>
      </c>
      <c r="F6" s="33" t="n">
        <f aca="false">F5*Assumptions!$E$20/12</f>
        <v>58.9428195286604</v>
      </c>
      <c r="G6" s="33" t="n">
        <f aca="false">G5*Assumptions!$E$20/12</f>
        <v>58.9428195286604</v>
      </c>
      <c r="H6" s="33" t="n">
        <f aca="false">H5*Assumptions!$E$20/12</f>
        <v>58.9428195286604</v>
      </c>
      <c r="I6" s="33" t="n">
        <f aca="false">I5*Assumptions!$E$20/12</f>
        <v>58.9428195286604</v>
      </c>
      <c r="J6" s="33" t="n">
        <f aca="false">J5*Assumptions!$E$20/12</f>
        <v>58.9428195286604</v>
      </c>
      <c r="K6" s="33" t="n">
        <f aca="false">K5*Assumptions!$E$20/12</f>
        <v>795.728063636916</v>
      </c>
      <c r="L6" s="33" t="n">
        <f aca="false">L5*Assumptions!$E$20/12</f>
        <v>795.728063636916</v>
      </c>
    </row>
    <row r="7" customFormat="false" ht="15" hidden="false" customHeight="true" outlineLevel="0" collapsed="false">
      <c r="B7" s="1" t="s">
        <v>221</v>
      </c>
      <c r="C7" s="33" t="n">
        <f aca="false">C6</f>
        <v>58.9428195286604</v>
      </c>
      <c r="D7" s="33" t="n">
        <f aca="false">C9</f>
        <v>58.9428195286604</v>
      </c>
      <c r="E7" s="33" t="n">
        <f aca="false">D9</f>
        <v>58.9428195286604</v>
      </c>
      <c r="F7" s="33" t="n">
        <f aca="false">E9</f>
        <v>58.9428195286604</v>
      </c>
      <c r="G7" s="33" t="n">
        <f aca="false">F9</f>
        <v>58.9428195286604</v>
      </c>
      <c r="H7" s="33" t="n">
        <f aca="false">G9</f>
        <v>58.9428195286604</v>
      </c>
      <c r="I7" s="33" t="n">
        <f aca="false">H9</f>
        <v>58.9428195286604</v>
      </c>
      <c r="J7" s="33" t="n">
        <f aca="false">I9</f>
        <v>58.9428195286604</v>
      </c>
      <c r="K7" s="33" t="n">
        <f aca="false">J9</f>
        <v>58.9428195286604</v>
      </c>
      <c r="L7" s="33" t="n">
        <f aca="false">K9</f>
        <v>795.728063636916</v>
      </c>
    </row>
    <row r="8" customFormat="false" ht="15" hidden="false" customHeight="true" outlineLevel="0" collapsed="false">
      <c r="B8" s="1" t="s">
        <v>222</v>
      </c>
      <c r="C8" s="33" t="n">
        <f aca="false">C6-C7</f>
        <v>0</v>
      </c>
      <c r="D8" s="33" t="n">
        <f aca="false">D6-D7</f>
        <v>0</v>
      </c>
      <c r="E8" s="33" t="n">
        <f aca="false">E6-E7</f>
        <v>0</v>
      </c>
      <c r="F8" s="33" t="n">
        <f aca="false">F6-F7</f>
        <v>0</v>
      </c>
      <c r="G8" s="33" t="n">
        <f aca="false">G6-G7</f>
        <v>0</v>
      </c>
      <c r="H8" s="33" t="n">
        <f aca="false">H6-H7</f>
        <v>0</v>
      </c>
      <c r="I8" s="33" t="n">
        <f aca="false">I6-I7</f>
        <v>0</v>
      </c>
      <c r="J8" s="33" t="n">
        <f aca="false">J6-J7</f>
        <v>0</v>
      </c>
      <c r="K8" s="33" t="n">
        <f aca="false">K6-K7</f>
        <v>736.785244108255</v>
      </c>
      <c r="L8" s="33" t="n">
        <f aca="false">L6-L7</f>
        <v>0</v>
      </c>
    </row>
    <row r="9" customFormat="false" ht="15" hidden="false" customHeight="true" outlineLevel="0" collapsed="false">
      <c r="B9" s="1" t="s">
        <v>223</v>
      </c>
      <c r="C9" s="33" t="n">
        <f aca="false">C7+C8</f>
        <v>58.9428195286604</v>
      </c>
      <c r="D9" s="33" t="n">
        <f aca="false">D7+D8</f>
        <v>58.9428195286604</v>
      </c>
      <c r="E9" s="33" t="n">
        <f aca="false">E7+E8</f>
        <v>58.9428195286604</v>
      </c>
      <c r="F9" s="33" t="n">
        <f aca="false">F7+F8</f>
        <v>58.9428195286604</v>
      </c>
      <c r="G9" s="33" t="n">
        <f aca="false">G7+G8</f>
        <v>58.9428195286604</v>
      </c>
      <c r="H9" s="33" t="n">
        <f aca="false">H7+H8</f>
        <v>58.9428195286604</v>
      </c>
      <c r="I9" s="33" t="n">
        <f aca="false">I7+I8</f>
        <v>58.9428195286604</v>
      </c>
      <c r="J9" s="33" t="n">
        <f aca="false">J7+J8</f>
        <v>58.9428195286604</v>
      </c>
      <c r="K9" s="33" t="n">
        <f aca="false">K7+K8</f>
        <v>795.728063636916</v>
      </c>
      <c r="L9" s="33" t="n">
        <f aca="false">L7+L8</f>
        <v>795.728063636916</v>
      </c>
    </row>
    <row r="10" customFormat="false" ht="15" hidden="false" customHeight="true" outlineLevel="0" collapsed="false">
      <c r="B10" s="1" t="s">
        <v>224</v>
      </c>
      <c r="C10" s="33" t="n">
        <f aca="false">IF(COLUMN()=3,C7,0)</f>
        <v>58.9428195286604</v>
      </c>
      <c r="D10" s="33" t="n">
        <f aca="false">IF(COLUMN()=3,D7,0)</f>
        <v>0</v>
      </c>
      <c r="E10" s="33" t="n">
        <f aca="false">IF(COLUMN()=3,E7,0)</f>
        <v>0</v>
      </c>
      <c r="F10" s="33" t="n">
        <f aca="false">IF(COLUMN()=3,F7,0)</f>
        <v>0</v>
      </c>
      <c r="G10" s="33" t="n">
        <f aca="false">IF(COLUMN()=3,G7,0)</f>
        <v>0</v>
      </c>
      <c r="H10" s="33" t="n">
        <f aca="false">IF(COLUMN()=3,H7,0)</f>
        <v>0</v>
      </c>
      <c r="I10" s="33" t="n">
        <f aca="false">IF(COLUMN()=3,I7,0)</f>
        <v>0</v>
      </c>
      <c r="J10" s="33" t="n">
        <f aca="false">IF(COLUMN()=3,J7,0)</f>
        <v>0</v>
      </c>
      <c r="K10" s="33" t="n">
        <f aca="false">IF(COLUMN()=3,K7,0)</f>
        <v>0</v>
      </c>
      <c r="L10" s="33" t="n">
        <f aca="false">IF(COLUMN()=3,L7,0)</f>
        <v>0</v>
      </c>
    </row>
  </sheetData>
  <mergeCells count="1">
    <mergeCell ref="B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12" min="3" style="1" width="13"/>
  </cols>
  <sheetData>
    <row r="2" customFormat="false" ht="27.75" hidden="false" customHeight="true" outlineLevel="0" collapsed="false">
      <c r="B2" s="2" t="s">
        <v>225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16" t="s">
        <v>226</v>
      </c>
      <c r="C4" s="16" t="s">
        <v>188</v>
      </c>
      <c r="D4" s="16" t="s">
        <v>189</v>
      </c>
      <c r="E4" s="16" t="s">
        <v>190</v>
      </c>
      <c r="F4" s="16" t="s">
        <v>191</v>
      </c>
      <c r="G4" s="16" t="s">
        <v>192</v>
      </c>
      <c r="H4" s="16" t="s">
        <v>193</v>
      </c>
      <c r="I4" s="16" t="s">
        <v>194</v>
      </c>
      <c r="J4" s="16" t="s">
        <v>195</v>
      </c>
      <c r="K4" s="16" t="s">
        <v>196</v>
      </c>
      <c r="L4" s="16" t="s">
        <v>197</v>
      </c>
    </row>
    <row r="5" customFormat="false" ht="15" hidden="false" customHeight="true" outlineLevel="0" collapsed="false">
      <c r="B5" s="1" t="s">
        <v>214</v>
      </c>
      <c r="C5" s="36" t="n">
        <f aca="false">'Debt Sculpting'!C12</f>
        <v>0.599655738945668</v>
      </c>
      <c r="D5" s="36" t="n">
        <f aca="false">'Debt Sculpting'!D12</f>
        <v>0.619172314657501</v>
      </c>
      <c r="E5" s="36" t="n">
        <f aca="false">'Debt Sculpting'!E12</f>
        <v>0.639274387640689</v>
      </c>
      <c r="F5" s="36" t="n">
        <f aca="false">'Debt Sculpting'!F12</f>
        <v>0.659979522813372</v>
      </c>
      <c r="G5" s="36" t="n">
        <f aca="false">'Debt Sculpting'!G12</f>
        <v>0.681305812041236</v>
      </c>
      <c r="H5" s="36" t="n">
        <f aca="false">'Debt Sculpting'!H12</f>
        <v>0.703271889945936</v>
      </c>
      <c r="I5" s="36" t="n">
        <f aca="false">'Debt Sculpting'!I12</f>
        <v>0.725896950187777</v>
      </c>
      <c r="J5" s="36" t="n">
        <f aca="false">'Debt Sculpting'!J12</f>
        <v>0.749200762236873</v>
      </c>
      <c r="K5" s="36" t="n">
        <f aca="false">'Debt Sculpting'!K12</f>
        <v>0.773203688647442</v>
      </c>
      <c r="L5" s="36" t="n">
        <f aca="false">'Debt Sculpting'!L12</f>
        <v>0.0591056816926169</v>
      </c>
    </row>
    <row r="6" customFormat="false" ht="15" hidden="false" customHeight="true" outlineLevel="0" collapsed="false">
      <c r="B6" s="1" t="s">
        <v>227</v>
      </c>
      <c r="C6" s="36" t="n">
        <f aca="false">Assumptions!$E$17</f>
        <v>1.2</v>
      </c>
      <c r="D6" s="36" t="n">
        <f aca="false">Assumptions!$E$17</f>
        <v>1.2</v>
      </c>
      <c r="E6" s="36" t="n">
        <f aca="false">Assumptions!$E$17</f>
        <v>1.2</v>
      </c>
      <c r="F6" s="36" t="n">
        <f aca="false">Assumptions!$E$17</f>
        <v>1.2</v>
      </c>
      <c r="G6" s="36" t="n">
        <f aca="false">Assumptions!$E$17</f>
        <v>1.2</v>
      </c>
      <c r="H6" s="36" t="n">
        <f aca="false">Assumptions!$E$17</f>
        <v>1.2</v>
      </c>
      <c r="I6" s="36" t="n">
        <f aca="false">Assumptions!$E$17</f>
        <v>1.2</v>
      </c>
      <c r="J6" s="36" t="n">
        <f aca="false">Assumptions!$E$17</f>
        <v>1.2</v>
      </c>
      <c r="K6" s="36" t="n">
        <f aca="false">Assumptions!$E$17</f>
        <v>1.2</v>
      </c>
      <c r="L6" s="36" t="n">
        <f aca="false">Assumptions!$E$17</f>
        <v>1.2</v>
      </c>
    </row>
    <row r="7" customFormat="false" ht="15" hidden="false" customHeight="true" outlineLevel="0" collapsed="false">
      <c r="B7" s="1" t="s">
        <v>228</v>
      </c>
      <c r="C7" s="36" t="n">
        <f aca="false">C5-C6</f>
        <v>-0.600344261054332</v>
      </c>
      <c r="D7" s="36" t="n">
        <f aca="false">D5-D6</f>
        <v>-0.580827685342499</v>
      </c>
      <c r="E7" s="36" t="n">
        <f aca="false">E5-E6</f>
        <v>-0.560725612359311</v>
      </c>
      <c r="F7" s="36" t="n">
        <f aca="false">F5-F6</f>
        <v>-0.540020477186628</v>
      </c>
      <c r="G7" s="36" t="n">
        <f aca="false">G5-G6</f>
        <v>-0.518694187958764</v>
      </c>
      <c r="H7" s="36" t="n">
        <f aca="false">H5-H6</f>
        <v>-0.496728110054064</v>
      </c>
      <c r="I7" s="36" t="n">
        <f aca="false">I5-I6</f>
        <v>-0.474103049812223</v>
      </c>
      <c r="J7" s="36" t="n">
        <f aca="false">J5-J6</f>
        <v>-0.450799237763127</v>
      </c>
      <c r="K7" s="36" t="n">
        <f aca="false">K5-K6</f>
        <v>-0.426796311352558</v>
      </c>
      <c r="L7" s="36" t="n">
        <f aca="false">L5-L6</f>
        <v>-1.14089431830738</v>
      </c>
    </row>
    <row r="8" customFormat="false" ht="15" hidden="false" customHeight="true" outlineLevel="0" collapsed="false">
      <c r="B8" s="1" t="s">
        <v>229</v>
      </c>
      <c r="C8" s="36" t="n">
        <f aca="false">'Debt Sculpting'!C15</f>
        <v>0.357091307856174</v>
      </c>
      <c r="D8" s="36" t="n">
        <f aca="false">'Debt Sculpting'!D15</f>
        <v>0.312877059823314</v>
      </c>
      <c r="E8" s="36" t="n">
        <f aca="false">'Debt Sculpting'!E15</f>
        <v>0.270800324133365</v>
      </c>
      <c r="F8" s="36" t="n">
        <f aca="false">'Debt Sculpting'!F15</f>
        <v>0.230760876517106</v>
      </c>
      <c r="G8" s="36" t="n">
        <f aca="false">'Debt Sculpting'!G15</f>
        <v>0.192662936372661</v>
      </c>
      <c r="H8" s="36" t="n">
        <f aca="false">'Debt Sculpting'!H15</f>
        <v>0.156414991400034</v>
      </c>
      <c r="I8" s="36" t="n">
        <f aca="false">'Debt Sculpting'!I15</f>
        <v>0.121929627216738</v>
      </c>
      <c r="J8" s="36" t="n">
        <f aca="false">'Debt Sculpting'!J15</f>
        <v>0.0891233620082066</v>
      </c>
      <c r="K8" s="36" t="n">
        <f aca="false">'Debt Sculpting'!K15</f>
        <v>0.0579164862399758</v>
      </c>
      <c r="L8" s="36" t="n">
        <f aca="false">'Debt Sculpting'!L15</f>
        <v>0.0282329074351343</v>
      </c>
    </row>
    <row r="9" customFormat="false" ht="15" hidden="false" customHeight="true" outlineLevel="0" collapsed="false">
      <c r="B9" s="1" t="s">
        <v>230</v>
      </c>
      <c r="C9" s="36" t="n">
        <f aca="false">IFERROR(SUM('Debt Sculpting'!C14:$L$14)/'Debt Sculpting'!C5,0)</f>
        <v>0.357091307856174</v>
      </c>
      <c r="D9" s="36" t="n">
        <f aca="false">IFERROR(SUM('Debt Sculpting'!D14:$L$14)/'Debt Sculpting'!D5,0)</f>
        <v>0.312877059823314</v>
      </c>
      <c r="E9" s="36" t="n">
        <f aca="false">IFERROR(SUM('Debt Sculpting'!E14:$L$14)/'Debt Sculpting'!E5,0)</f>
        <v>0.270800324133365</v>
      </c>
      <c r="F9" s="36" t="n">
        <f aca="false">IFERROR(SUM('Debt Sculpting'!F14:$L$14)/'Debt Sculpting'!F5,0)</f>
        <v>0.230760876517106</v>
      </c>
      <c r="G9" s="36" t="n">
        <f aca="false">IFERROR(SUM('Debt Sculpting'!G14:$L$14)/'Debt Sculpting'!G5,0)</f>
        <v>0.192662936372661</v>
      </c>
      <c r="H9" s="36" t="n">
        <f aca="false">IFERROR(SUM('Debt Sculpting'!H14:$L$14)/'Debt Sculpting'!H5,0)</f>
        <v>0.156414991400034</v>
      </c>
      <c r="I9" s="36" t="n">
        <f aca="false">IFERROR(SUM('Debt Sculpting'!I14:$L$14)/'Debt Sculpting'!I5,0)</f>
        <v>0.121929627216738</v>
      </c>
      <c r="J9" s="36" t="n">
        <f aca="false">IFERROR(SUM('Debt Sculpting'!J14:$L$14)/'Debt Sculpting'!J5,0)</f>
        <v>0.0891233620082066</v>
      </c>
      <c r="K9" s="36" t="n">
        <f aca="false">IFERROR(SUM('Debt Sculpting'!K14:$L$14)/'Debt Sculpting'!K5,0)</f>
        <v>0.0579164862399758</v>
      </c>
      <c r="L9" s="36" t="n">
        <f aca="false">IFERROR(SUM('Debt Sculpting'!L14:$L$14)/'Debt Sculpting'!L5,0)</f>
        <v>0.0282329074351343</v>
      </c>
    </row>
    <row r="10" customFormat="false" ht="15" hidden="false" customHeight="true" outlineLevel="0" collapsed="false">
      <c r="B10" s="1" t="s">
        <v>231</v>
      </c>
      <c r="C10" s="36" t="n">
        <f aca="false">IFERROR('Debt Sculpting'!C9/Operations!C8,0)</f>
        <v>15.7918647999883</v>
      </c>
      <c r="D10" s="36" t="n">
        <f aca="false">IFERROR('Debt Sculpting'!D9/Operations!D8,0)</f>
        <v>15.3319075728042</v>
      </c>
      <c r="E10" s="36" t="n">
        <f aca="false">IFERROR('Debt Sculpting'!E9/Operations!E8,0)</f>
        <v>14.8853471580623</v>
      </c>
      <c r="F10" s="36" t="n">
        <f aca="false">IFERROR('Debt Sculpting'!F9/Operations!F8,0)</f>
        <v>14.4517933573421</v>
      </c>
      <c r="G10" s="36" t="n">
        <f aca="false">IFERROR('Debt Sculpting'!G9/Operations!G8,0)</f>
        <v>14.0308673372253</v>
      </c>
      <c r="H10" s="36" t="n">
        <f aca="false">IFERROR('Debt Sculpting'!H9/Operations!H8,0)</f>
        <v>13.622201298277</v>
      </c>
      <c r="I10" s="36" t="n">
        <f aca="false">IFERROR('Debt Sculpting'!I9/Operations!I8,0)</f>
        <v>13.225438153667</v>
      </c>
      <c r="J10" s="36" t="n">
        <f aca="false">IFERROR('Debt Sculpting'!J9/Operations!J8,0)</f>
        <v>12.8402312171524</v>
      </c>
      <c r="K10" s="36" t="n">
        <f aca="false">IFERROR('Debt Sculpting'!K9/Operations!K8,0)</f>
        <v>12.466243900148</v>
      </c>
      <c r="L10" s="36" t="n">
        <f aca="false">IFERROR('Debt Sculpting'!L9/Operations!L8,0)</f>
        <v>0</v>
      </c>
    </row>
    <row r="11" customFormat="false" ht="15" hidden="false" customHeight="true" outlineLevel="0" collapsed="false">
      <c r="B11" s="1" t="s">
        <v>232</v>
      </c>
      <c r="C11" s="36" t="n">
        <f aca="false">IFERROR(DSRA!C9/DSRA!C6,0)</f>
        <v>1</v>
      </c>
      <c r="D11" s="36" t="n">
        <f aca="false">IFERROR(DSRA!D9/DSRA!D6,0)</f>
        <v>1</v>
      </c>
      <c r="E11" s="36" t="n">
        <f aca="false">IFERROR(DSRA!E9/DSRA!E6,0)</f>
        <v>1</v>
      </c>
      <c r="F11" s="36" t="n">
        <f aca="false">IFERROR(DSRA!F9/DSRA!F6,0)</f>
        <v>1</v>
      </c>
      <c r="G11" s="36" t="n">
        <f aca="false">IFERROR(DSRA!G9/DSRA!G6,0)</f>
        <v>1</v>
      </c>
      <c r="H11" s="36" t="n">
        <f aca="false">IFERROR(DSRA!H9/DSRA!H6,0)</f>
        <v>1</v>
      </c>
      <c r="I11" s="36" t="n">
        <f aca="false">IFERROR(DSRA!I9/DSRA!I6,0)</f>
        <v>1</v>
      </c>
      <c r="J11" s="36" t="n">
        <f aca="false">IFERROR(DSRA!J9/DSRA!J6,0)</f>
        <v>1</v>
      </c>
      <c r="K11" s="36" t="n">
        <f aca="false">IFERROR(DSRA!K9/DSRA!K6,0)</f>
        <v>1</v>
      </c>
      <c r="L11" s="36" t="n">
        <f aca="false">IFERROR(DSRA!L9/DSRA!L6,0)</f>
        <v>1</v>
      </c>
    </row>
    <row r="12" customFormat="false" ht="15" hidden="false" customHeight="true" outlineLevel="0" collapsed="false">
      <c r="B12" s="1" t="s">
        <v>233</v>
      </c>
      <c r="C12" s="1" t="str">
        <f aca="false">IF(AND(C7&gt;=0,C8&gt;=1,C11&gt;=1),"PASS","BREACH")</f>
        <v>BREACH</v>
      </c>
      <c r="D12" s="1" t="str">
        <f aca="false">IF(AND(D7&gt;=0,D8&gt;=1,D11&gt;=1),"PASS","BREACH")</f>
        <v>BREACH</v>
      </c>
      <c r="E12" s="1" t="str">
        <f aca="false">IF(AND(E7&gt;=0,E8&gt;=1,E11&gt;=1),"PASS","BREACH")</f>
        <v>BREACH</v>
      </c>
      <c r="F12" s="1" t="str">
        <f aca="false">IF(AND(F7&gt;=0,F8&gt;=1,F11&gt;=1),"PASS","BREACH")</f>
        <v>BREACH</v>
      </c>
      <c r="G12" s="1" t="str">
        <f aca="false">IF(AND(G7&gt;=0,G8&gt;=1,G11&gt;=1),"PASS","BREACH")</f>
        <v>BREACH</v>
      </c>
      <c r="H12" s="1" t="str">
        <f aca="false">IF(AND(H7&gt;=0,H8&gt;=1,H11&gt;=1),"PASS","BREACH")</f>
        <v>BREACH</v>
      </c>
      <c r="I12" s="1" t="str">
        <f aca="false">IF(AND(I7&gt;=0,I8&gt;=1,I11&gt;=1),"PASS","BREACH")</f>
        <v>BREACH</v>
      </c>
      <c r="J12" s="1" t="str">
        <f aca="false">IF(AND(J7&gt;=0,J8&gt;=1,J11&gt;=1),"PASS","BREACH")</f>
        <v>BREACH</v>
      </c>
      <c r="K12" s="1" t="str">
        <f aca="false">IF(AND(K7&gt;=0,K8&gt;=1,K11&gt;=1),"PASS","BREACH")</f>
        <v>BREACH</v>
      </c>
      <c r="L12" s="1" t="str">
        <f aca="false">IF(AND(L7&gt;=0,L8&gt;=1,L11&gt;=1),"PASS","BREACH")</f>
        <v>BREACH</v>
      </c>
    </row>
  </sheetData>
  <mergeCells count="1">
    <mergeCell ref="B2:L2"/>
  </mergeCells>
  <conditionalFormatting sqref="C12:L12">
    <cfRule type="expression" priority="2" aboveAverage="0" equalAverage="0" bottom="0" percent="0" rank="0" text="" dxfId="0">
      <formula>C12="PASS"</formula>
    </cfRule>
    <cfRule type="expression" priority="3" aboveAverage="0" equalAverage="0" bottom="0" percent="0" rank="0" text="" dxfId="1">
      <formula>C12="FAIL"</formula>
    </cfRule>
    <cfRule type="expression" priority="4" aboveAverage="0" equalAverage="0" bottom="0" percent="0" rank="0" text="" dxfId="2">
      <formula>C12="REVIEW"</formula>
    </cfRule>
    <cfRule type="expression" priority="5" aboveAverage="0" equalAverage="0" bottom="0" percent="0" rank="0" text="" dxfId="1">
      <formula>C12="BREACH"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7" min="3" style="1" width="13"/>
  </cols>
  <sheetData>
    <row r="2" customFormat="false" ht="27.75" hidden="false" customHeight="true" outlineLevel="0" collapsed="false">
      <c r="B2" s="2" t="s">
        <v>234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235</v>
      </c>
      <c r="C4" s="38" t="n">
        <v>0.22</v>
      </c>
      <c r="D4" s="38" t="n">
        <v>0.28</v>
      </c>
      <c r="E4" s="38" t="n">
        <v>0.34</v>
      </c>
      <c r="F4" s="38" t="n">
        <v>0.4</v>
      </c>
      <c r="G4" s="38" t="n">
        <v>0.46</v>
      </c>
    </row>
    <row r="5" customFormat="false" ht="15" hidden="false" customHeight="true" outlineLevel="0" collapsed="false">
      <c r="B5" s="32" t="n">
        <v>0</v>
      </c>
      <c r="C5" s="36" t="n">
        <f aca="false">MIN(MAX(0,Operations!C5*(1-$B5)*(1-C$4)-Operations!C9-Operations!C10-Operations!C11)/MAX(0.000001,'Debt Sculpting'!C10),MAX(0,Operations!D5*(1-$B5)*(1-C$4)-Operations!D9-Operations!D10-Operations!D11)/MAX(0.000001,'Debt Sculpting'!D10),MAX(0,Operations!E5*(1-$B5)*(1-C$4)-Operations!E9-Operations!E10-Operations!E11)/MAX(0.000001,'Debt Sculpting'!E10),MAX(0,Operations!F5*(1-$B5)*(1-C$4)-Operations!F9-Operations!F10-Operations!F11)/MAX(0.000001,'Debt Sculpting'!F10),MAX(0,Operations!G5*(1-$B5)*(1-C$4)-Operations!G9-Operations!G10-Operations!G11)/MAX(0.000001,'Debt Sculpting'!G10),MAX(0,Operations!H5*(1-$B5)*(1-C$4)-Operations!H9-Operations!H10-Operations!H11)/MAX(0.000001,'Debt Sculpting'!H10),MAX(0,Operations!I5*(1-$B5)*(1-C$4)-Operations!I9-Operations!I10-Operations!I11)/MAX(0.000001,'Debt Sculpting'!I10),MAX(0,Operations!J5*(1-$B5)*(1-C$4)-Operations!J9-Operations!J10-Operations!J11)/MAX(0.000001,'Debt Sculpting'!J10),MAX(0,Operations!K5*(1-$B5)*(1-C$4)-Operations!K9-Operations!K10-Operations!K11)/MAX(0.000001,'Debt Sculpting'!K10),MAX(0,Operations!L5*(1-$B5)*(1-C$4)-Operations!L9-Operations!L10-Operations!L11)/MAX(0.000001,'Debt Sculpting'!L10))</f>
        <v>0.112099872114206</v>
      </c>
      <c r="D5" s="36" t="n">
        <f aca="false">MIN(MAX(0,Operations!C5*(1-$B5)*(1-D$4)-Operations!C9-Operations!C10-Operations!C11)/MAX(0.000001,'Debt Sculpting'!C10),MAX(0,Operations!D5*(1-$B5)*(1-D$4)-Operations!D9-Operations!D10-Operations!D11)/MAX(0.000001,'Debt Sculpting'!D10),MAX(0,Operations!E5*(1-$B5)*(1-D$4)-Operations!E9-Operations!E10-Operations!E11)/MAX(0.000001,'Debt Sculpting'!E10),MAX(0,Operations!F5*(1-$B5)*(1-D$4)-Operations!F9-Operations!F10-Operations!F11)/MAX(0.000001,'Debt Sculpting'!F10),MAX(0,Operations!G5*(1-$B5)*(1-D$4)-Operations!G9-Operations!G10-Operations!G11)/MAX(0.000001,'Debt Sculpting'!G10),MAX(0,Operations!H5*(1-$B5)*(1-D$4)-Operations!H9-Operations!H10-Operations!H11)/MAX(0.000001,'Debt Sculpting'!H10),MAX(0,Operations!I5*(1-$B5)*(1-D$4)-Operations!I9-Operations!I10-Operations!I11)/MAX(0.000001,'Debt Sculpting'!I10),MAX(0,Operations!J5*(1-$B5)*(1-D$4)-Operations!J9-Operations!J10-Operations!J11)/MAX(0.000001,'Debt Sculpting'!J10),MAX(0,Operations!K5*(1-$B5)*(1-D$4)-Operations!K9-Operations!K10-Operations!K11)/MAX(0.000001,'Debt Sculpting'!K10),MAX(0,Operations!L5*(1-$B5)*(1-D$4)-Operations!L9-Operations!L10-Operations!L11)/MAX(0.000001,'Debt Sculpting'!L10))</f>
        <v>0.102138558125186</v>
      </c>
      <c r="E5" s="36" t="n">
        <f aca="false">MIN(MAX(0,Operations!C5*(1-$B5)*(1-E$4)-Operations!C9-Operations!C10-Operations!C11)/MAX(0.000001,'Debt Sculpting'!C10),MAX(0,Operations!D5*(1-$B5)*(1-E$4)-Operations!D9-Operations!D10-Operations!D11)/MAX(0.000001,'Debt Sculpting'!D10),MAX(0,Operations!E5*(1-$B5)*(1-E$4)-Operations!E9-Operations!E10-Operations!E11)/MAX(0.000001,'Debt Sculpting'!E10),MAX(0,Operations!F5*(1-$B5)*(1-E$4)-Operations!F9-Operations!F10-Operations!F11)/MAX(0.000001,'Debt Sculpting'!F10),MAX(0,Operations!G5*(1-$B5)*(1-E$4)-Operations!G9-Operations!G10-Operations!G11)/MAX(0.000001,'Debt Sculpting'!G10),MAX(0,Operations!H5*(1-$B5)*(1-E$4)-Operations!H9-Operations!H10-Operations!H11)/MAX(0.000001,'Debt Sculpting'!H10),MAX(0,Operations!I5*(1-$B5)*(1-E$4)-Operations!I9-Operations!I10-Operations!I11)/MAX(0.000001,'Debt Sculpting'!I10),MAX(0,Operations!J5*(1-$B5)*(1-E$4)-Operations!J9-Operations!J10-Operations!J11)/MAX(0.000001,'Debt Sculpting'!J10),MAX(0,Operations!K5*(1-$B5)*(1-E$4)-Operations!K9-Operations!K10-Operations!K11)/MAX(0.000001,'Debt Sculpting'!K10),MAX(0,Operations!L5*(1-$B5)*(1-E$4)-Operations!L9-Operations!L10-Operations!L11)/MAX(0.000001,'Debt Sculpting'!L10))</f>
        <v>0.0921772441361652</v>
      </c>
      <c r="F5" s="36" t="n">
        <f aca="false">MIN(MAX(0,Operations!C5*(1-$B5)*(1-F$4)-Operations!C9-Operations!C10-Operations!C11)/MAX(0.000001,'Debt Sculpting'!C10),MAX(0,Operations!D5*(1-$B5)*(1-F$4)-Operations!D9-Operations!D10-Operations!D11)/MAX(0.000001,'Debt Sculpting'!D10),MAX(0,Operations!E5*(1-$B5)*(1-F$4)-Operations!E9-Operations!E10-Operations!E11)/MAX(0.000001,'Debt Sculpting'!E10),MAX(0,Operations!F5*(1-$B5)*(1-F$4)-Operations!F9-Operations!F10-Operations!F11)/MAX(0.000001,'Debt Sculpting'!F10),MAX(0,Operations!G5*(1-$B5)*(1-F$4)-Operations!G9-Operations!G10-Operations!G11)/MAX(0.000001,'Debt Sculpting'!G10),MAX(0,Operations!H5*(1-$B5)*(1-F$4)-Operations!H9-Operations!H10-Operations!H11)/MAX(0.000001,'Debt Sculpting'!H10),MAX(0,Operations!I5*(1-$B5)*(1-F$4)-Operations!I9-Operations!I10-Operations!I11)/MAX(0.000001,'Debt Sculpting'!I10),MAX(0,Operations!J5*(1-$B5)*(1-F$4)-Operations!J9-Operations!J10-Operations!J11)/MAX(0.000001,'Debt Sculpting'!J10),MAX(0,Operations!K5*(1-$B5)*(1-F$4)-Operations!K9-Operations!K10-Operations!K11)/MAX(0.000001,'Debt Sculpting'!K10),MAX(0,Operations!L5*(1-$B5)*(1-F$4)-Operations!L9-Operations!L10-Operations!L11)/MAX(0.000001,'Debt Sculpting'!L10))</f>
        <v>0.0822159301471446</v>
      </c>
      <c r="G5" s="36" t="n">
        <f aca="false">MIN(MAX(0,Operations!C5*(1-$B5)*(1-G$4)-Operations!C9-Operations!C10-Operations!C11)/MAX(0.000001,'Debt Sculpting'!C10),MAX(0,Operations!D5*(1-$B5)*(1-G$4)-Operations!D9-Operations!D10-Operations!D11)/MAX(0.000001,'Debt Sculpting'!D10),MAX(0,Operations!E5*(1-$B5)*(1-G$4)-Operations!E9-Operations!E10-Operations!E11)/MAX(0.000001,'Debt Sculpting'!E10),MAX(0,Operations!F5*(1-$B5)*(1-G$4)-Operations!F9-Operations!F10-Operations!F11)/MAX(0.000001,'Debt Sculpting'!F10),MAX(0,Operations!G5*(1-$B5)*(1-G$4)-Operations!G9-Operations!G10-Operations!G11)/MAX(0.000001,'Debt Sculpting'!G10),MAX(0,Operations!H5*(1-$B5)*(1-G$4)-Operations!H9-Operations!H10-Operations!H11)/MAX(0.000001,'Debt Sculpting'!H10),MAX(0,Operations!I5*(1-$B5)*(1-G$4)-Operations!I9-Operations!I10-Operations!I11)/MAX(0.000001,'Debt Sculpting'!I10),MAX(0,Operations!J5*(1-$B5)*(1-G$4)-Operations!J9-Operations!J10-Operations!J11)/MAX(0.000001,'Debt Sculpting'!J10),MAX(0,Operations!K5*(1-$B5)*(1-G$4)-Operations!K9-Operations!K10-Operations!K11)/MAX(0.000001,'Debt Sculpting'!K10),MAX(0,Operations!L5*(1-$B5)*(1-G$4)-Operations!L9-Operations!L10-Operations!L11)/MAX(0.000001,'Debt Sculpting'!L10))</f>
        <v>0.0722546161581241</v>
      </c>
    </row>
    <row r="6" customFormat="false" ht="15" hidden="false" customHeight="true" outlineLevel="0" collapsed="false">
      <c r="B6" s="32" t="n">
        <v>0.05</v>
      </c>
      <c r="C6" s="36" t="n">
        <f aca="false">MIN(MAX(0,Operations!C5*(1-$B6)*(1-C$4)-Operations!C9-Operations!C10-Operations!C11)/MAX(0.000001,'Debt Sculpting'!C10),MAX(0,Operations!D5*(1-$B6)*(1-C$4)-Operations!D9-Operations!D10-Operations!D11)/MAX(0.000001,'Debt Sculpting'!D10),MAX(0,Operations!E5*(1-$B6)*(1-C$4)-Operations!E9-Operations!E10-Operations!E11)/MAX(0.000001,'Debt Sculpting'!E10),MAX(0,Operations!F5*(1-$B6)*(1-C$4)-Operations!F9-Operations!F10-Operations!F11)/MAX(0.000001,'Debt Sculpting'!F10),MAX(0,Operations!G5*(1-$B6)*(1-C$4)-Operations!G9-Operations!G10-Operations!G11)/MAX(0.000001,'Debt Sculpting'!G10),MAX(0,Operations!H5*(1-$B6)*(1-C$4)-Operations!H9-Operations!H10-Operations!H11)/MAX(0.000001,'Debt Sculpting'!H10),MAX(0,Operations!I5*(1-$B6)*(1-C$4)-Operations!I9-Operations!I10-Operations!I11)/MAX(0.000001,'Debt Sculpting'!I10),MAX(0,Operations!J5*(1-$B6)*(1-C$4)-Operations!J9-Operations!J10-Operations!J11)/MAX(0.000001,'Debt Sculpting'!J10),MAX(0,Operations!K5*(1-$B6)*(1-C$4)-Operations!K9-Operations!K10-Operations!K11)/MAX(0.000001,'Debt Sculpting'!K10),MAX(0,Operations!L5*(1-$B6)*(1-C$4)-Operations!L9-Operations!L10-Operations!L11)/MAX(0.000001,'Debt Sculpting'!L10))</f>
        <v>0.105625018021343</v>
      </c>
      <c r="D6" s="36" t="n">
        <f aca="false">MIN(MAX(0,Operations!C5*(1-$B6)*(1-D$4)-Operations!C9-Operations!C10-Operations!C11)/MAX(0.000001,'Debt Sculpting'!C10),MAX(0,Operations!D5*(1-$B6)*(1-D$4)-Operations!D9-Operations!D10-Operations!D11)/MAX(0.000001,'Debt Sculpting'!D10),MAX(0,Operations!E5*(1-$B6)*(1-D$4)-Operations!E9-Operations!E10-Operations!E11)/MAX(0.000001,'Debt Sculpting'!E10),MAX(0,Operations!F5*(1-$B6)*(1-D$4)-Operations!F9-Operations!F10-Operations!F11)/MAX(0.000001,'Debt Sculpting'!F10),MAX(0,Operations!G5*(1-$B6)*(1-D$4)-Operations!G9-Operations!G10-Operations!G11)/MAX(0.000001,'Debt Sculpting'!G10),MAX(0,Operations!H5*(1-$B6)*(1-D$4)-Operations!H9-Operations!H10-Operations!H11)/MAX(0.000001,'Debt Sculpting'!H10),MAX(0,Operations!I5*(1-$B6)*(1-D$4)-Operations!I9-Operations!I10-Operations!I11)/MAX(0.000001,'Debt Sculpting'!I10),MAX(0,Operations!J5*(1-$B6)*(1-D$4)-Operations!J9-Operations!J10-Operations!J11)/MAX(0.000001,'Debt Sculpting'!J10),MAX(0,Operations!K5*(1-$B6)*(1-D$4)-Operations!K9-Operations!K10-Operations!K11)/MAX(0.000001,'Debt Sculpting'!K10),MAX(0,Operations!L5*(1-$B6)*(1-D$4)-Operations!L9-Operations!L10-Operations!L11)/MAX(0.000001,'Debt Sculpting'!L10))</f>
        <v>0.0961617697317734</v>
      </c>
      <c r="E6" s="36" t="n">
        <f aca="false">MIN(MAX(0,Operations!C5*(1-$B6)*(1-E$4)-Operations!C9-Operations!C10-Operations!C11)/MAX(0.000001,'Debt Sculpting'!C10),MAX(0,Operations!D5*(1-$B6)*(1-E$4)-Operations!D9-Operations!D10-Operations!D11)/MAX(0.000001,'Debt Sculpting'!D10),MAX(0,Operations!E5*(1-$B6)*(1-E$4)-Operations!E9-Operations!E10-Operations!E11)/MAX(0.000001,'Debt Sculpting'!E10),MAX(0,Operations!F5*(1-$B6)*(1-E$4)-Operations!F9-Operations!F10-Operations!F11)/MAX(0.000001,'Debt Sculpting'!F10),MAX(0,Operations!G5*(1-$B6)*(1-E$4)-Operations!G9-Operations!G10-Operations!G11)/MAX(0.000001,'Debt Sculpting'!G10),MAX(0,Operations!H5*(1-$B6)*(1-E$4)-Operations!H9-Operations!H10-Operations!H11)/MAX(0.000001,'Debt Sculpting'!H10),MAX(0,Operations!I5*(1-$B6)*(1-E$4)-Operations!I9-Operations!I10-Operations!I11)/MAX(0.000001,'Debt Sculpting'!I10),MAX(0,Operations!J5*(1-$B6)*(1-E$4)-Operations!J9-Operations!J10-Operations!J11)/MAX(0.000001,'Debt Sculpting'!J10),MAX(0,Operations!K5*(1-$B6)*(1-E$4)-Operations!K9-Operations!K10-Operations!K11)/MAX(0.000001,'Debt Sculpting'!K10),MAX(0,Operations!L5*(1-$B6)*(1-E$4)-Operations!L9-Operations!L10-Operations!L11)/MAX(0.000001,'Debt Sculpting'!L10))</f>
        <v>0.0866985214422039</v>
      </c>
      <c r="F6" s="36" t="n">
        <f aca="false">MIN(MAX(0,Operations!C5*(1-$B6)*(1-F$4)-Operations!C9-Operations!C10-Operations!C11)/MAX(0.000001,'Debt Sculpting'!C10),MAX(0,Operations!D5*(1-$B6)*(1-F$4)-Operations!D9-Operations!D10-Operations!D11)/MAX(0.000001,'Debt Sculpting'!D10),MAX(0,Operations!E5*(1-$B6)*(1-F$4)-Operations!E9-Operations!E10-Operations!E11)/MAX(0.000001,'Debt Sculpting'!E10),MAX(0,Operations!F5*(1-$B6)*(1-F$4)-Operations!F9-Operations!F10-Operations!F11)/MAX(0.000001,'Debt Sculpting'!F10),MAX(0,Operations!G5*(1-$B6)*(1-F$4)-Operations!G9-Operations!G10-Operations!G11)/MAX(0.000001,'Debt Sculpting'!G10),MAX(0,Operations!H5*(1-$B6)*(1-F$4)-Operations!H9-Operations!H10-Operations!H11)/MAX(0.000001,'Debt Sculpting'!H10),MAX(0,Operations!I5*(1-$B6)*(1-F$4)-Operations!I9-Operations!I10-Operations!I11)/MAX(0.000001,'Debt Sculpting'!I10),MAX(0,Operations!J5*(1-$B6)*(1-F$4)-Operations!J9-Operations!J10-Operations!J11)/MAX(0.000001,'Debt Sculpting'!J10),MAX(0,Operations!K5*(1-$B6)*(1-F$4)-Operations!K9-Operations!K10-Operations!K11)/MAX(0.000001,'Debt Sculpting'!K10),MAX(0,Operations!L5*(1-$B6)*(1-F$4)-Operations!L9-Operations!L10-Operations!L11)/MAX(0.000001,'Debt Sculpting'!L10))</f>
        <v>0.0772352731526343</v>
      </c>
      <c r="G6" s="36" t="n">
        <f aca="false">MIN(MAX(0,Operations!C5*(1-$B6)*(1-G$4)-Operations!C9-Operations!C10-Operations!C11)/MAX(0.000001,'Debt Sculpting'!C10),MAX(0,Operations!D5*(1-$B6)*(1-G$4)-Operations!D9-Operations!D10-Operations!D11)/MAX(0.000001,'Debt Sculpting'!D10),MAX(0,Operations!E5*(1-$B6)*(1-G$4)-Operations!E9-Operations!E10-Operations!E11)/MAX(0.000001,'Debt Sculpting'!E10),MAX(0,Operations!F5*(1-$B6)*(1-G$4)-Operations!F9-Operations!F10-Operations!F11)/MAX(0.000001,'Debt Sculpting'!F10),MAX(0,Operations!G5*(1-$B6)*(1-G$4)-Operations!G9-Operations!G10-Operations!G11)/MAX(0.000001,'Debt Sculpting'!G10),MAX(0,Operations!H5*(1-$B6)*(1-G$4)-Operations!H9-Operations!H10-Operations!H11)/MAX(0.000001,'Debt Sculpting'!H10),MAX(0,Operations!I5*(1-$B6)*(1-G$4)-Operations!I9-Operations!I10-Operations!I11)/MAX(0.000001,'Debt Sculpting'!I10),MAX(0,Operations!J5*(1-$B6)*(1-G$4)-Operations!J9-Operations!J10-Operations!J11)/MAX(0.000001,'Debt Sculpting'!J10),MAX(0,Operations!K5*(1-$B6)*(1-G$4)-Operations!K9-Operations!K10-Operations!K11)/MAX(0.000001,'Debt Sculpting'!K10),MAX(0,Operations!L5*(1-$B6)*(1-G$4)-Operations!L9-Operations!L10-Operations!L11)/MAX(0.000001,'Debt Sculpting'!L10))</f>
        <v>0.0677720248630648</v>
      </c>
    </row>
    <row r="7" customFormat="false" ht="15" hidden="false" customHeight="true" outlineLevel="0" collapsed="false">
      <c r="B7" s="32" t="n">
        <v>0.1</v>
      </c>
      <c r="C7" s="36" t="n">
        <f aca="false">MIN(MAX(0,Operations!C5*(1-$B7)*(1-C$4)-Operations!C9-Operations!C10-Operations!C11)/MAX(0.000001,'Debt Sculpting'!C10),MAX(0,Operations!D5*(1-$B7)*(1-C$4)-Operations!D9-Operations!D10-Operations!D11)/MAX(0.000001,'Debt Sculpting'!D10),MAX(0,Operations!E5*(1-$B7)*(1-C$4)-Operations!E9-Operations!E10-Operations!E11)/MAX(0.000001,'Debt Sculpting'!E10),MAX(0,Operations!F5*(1-$B7)*(1-C$4)-Operations!F9-Operations!F10-Operations!F11)/MAX(0.000001,'Debt Sculpting'!F10),MAX(0,Operations!G5*(1-$B7)*(1-C$4)-Operations!G9-Operations!G10-Operations!G11)/MAX(0.000001,'Debt Sculpting'!G10),MAX(0,Operations!H5*(1-$B7)*(1-C$4)-Operations!H9-Operations!H10-Operations!H11)/MAX(0.000001,'Debt Sculpting'!H10),MAX(0,Operations!I5*(1-$B7)*(1-C$4)-Operations!I9-Operations!I10-Operations!I11)/MAX(0.000001,'Debt Sculpting'!I10),MAX(0,Operations!J5*(1-$B7)*(1-C$4)-Operations!J9-Operations!J10-Operations!J11)/MAX(0.000001,'Debt Sculpting'!J10),MAX(0,Operations!K5*(1-$B7)*(1-C$4)-Operations!K9-Operations!K10-Operations!K11)/MAX(0.000001,'Debt Sculpting'!K10),MAX(0,Operations!L5*(1-$B7)*(1-C$4)-Operations!L9-Operations!L10-Operations!L11)/MAX(0.000001,'Debt Sculpting'!L10))</f>
        <v>0.0991501639284796</v>
      </c>
      <c r="D7" s="36" t="n">
        <f aca="false">MIN(MAX(0,Operations!C5*(1-$B7)*(1-D$4)-Operations!C9-Operations!C10-Operations!C11)/MAX(0.000001,'Debt Sculpting'!C10),MAX(0,Operations!D5*(1-$B7)*(1-D$4)-Operations!D9-Operations!D10-Operations!D11)/MAX(0.000001,'Debt Sculpting'!D10),MAX(0,Operations!E5*(1-$B7)*(1-D$4)-Operations!E9-Operations!E10-Operations!E11)/MAX(0.000001,'Debt Sculpting'!E10),MAX(0,Operations!F5*(1-$B7)*(1-D$4)-Operations!F9-Operations!F10-Operations!F11)/MAX(0.000001,'Debt Sculpting'!F10),MAX(0,Operations!G5*(1-$B7)*(1-D$4)-Operations!G9-Operations!G10-Operations!G11)/MAX(0.000001,'Debt Sculpting'!G10),MAX(0,Operations!H5*(1-$B7)*(1-D$4)-Operations!H9-Operations!H10-Operations!H11)/MAX(0.000001,'Debt Sculpting'!H10),MAX(0,Operations!I5*(1-$B7)*(1-D$4)-Operations!I9-Operations!I10-Operations!I11)/MAX(0.000001,'Debt Sculpting'!I10),MAX(0,Operations!J5*(1-$B7)*(1-D$4)-Operations!J9-Operations!J10-Operations!J11)/MAX(0.000001,'Debt Sculpting'!J10),MAX(0,Operations!K5*(1-$B7)*(1-D$4)-Operations!K9-Operations!K10-Operations!K11)/MAX(0.000001,'Debt Sculpting'!K10),MAX(0,Operations!L5*(1-$B7)*(1-D$4)-Operations!L9-Operations!L10-Operations!L11)/MAX(0.000001,'Debt Sculpting'!L10))</f>
        <v>0.0901849813383611</v>
      </c>
      <c r="E7" s="36" t="n">
        <f aca="false">MIN(MAX(0,Operations!C5*(1-$B7)*(1-E$4)-Operations!C9-Operations!C10-Operations!C11)/MAX(0.000001,'Debt Sculpting'!C10),MAX(0,Operations!D5*(1-$B7)*(1-E$4)-Operations!D9-Operations!D10-Operations!D11)/MAX(0.000001,'Debt Sculpting'!D10),MAX(0,Operations!E5*(1-$B7)*(1-E$4)-Operations!E9-Operations!E10-Operations!E11)/MAX(0.000001,'Debt Sculpting'!E10),MAX(0,Operations!F5*(1-$B7)*(1-E$4)-Operations!F9-Operations!F10-Operations!F11)/MAX(0.000001,'Debt Sculpting'!F10),MAX(0,Operations!G5*(1-$B7)*(1-E$4)-Operations!G9-Operations!G10-Operations!G11)/MAX(0.000001,'Debt Sculpting'!G10),MAX(0,Operations!H5*(1-$B7)*(1-E$4)-Operations!H9-Operations!H10-Operations!H11)/MAX(0.000001,'Debt Sculpting'!H10),MAX(0,Operations!I5*(1-$B7)*(1-E$4)-Operations!I9-Operations!I10-Operations!I11)/MAX(0.000001,'Debt Sculpting'!I10),MAX(0,Operations!J5*(1-$B7)*(1-E$4)-Operations!J9-Operations!J10-Operations!J11)/MAX(0.000001,'Debt Sculpting'!J10),MAX(0,Operations!K5*(1-$B7)*(1-E$4)-Operations!K9-Operations!K10-Operations!K11)/MAX(0.000001,'Debt Sculpting'!K10),MAX(0,Operations!L5*(1-$B7)*(1-E$4)-Operations!L9-Operations!L10-Operations!L11)/MAX(0.000001,'Debt Sculpting'!L10))</f>
        <v>0.0812197987482426</v>
      </c>
      <c r="F7" s="36" t="n">
        <f aca="false">MIN(MAX(0,Operations!C5*(1-$B7)*(1-F$4)-Operations!C9-Operations!C10-Operations!C11)/MAX(0.000001,'Debt Sculpting'!C10),MAX(0,Operations!D5*(1-$B7)*(1-F$4)-Operations!D9-Operations!D10-Operations!D11)/MAX(0.000001,'Debt Sculpting'!D10),MAX(0,Operations!E5*(1-$B7)*(1-F$4)-Operations!E9-Operations!E10-Operations!E11)/MAX(0.000001,'Debt Sculpting'!E10),MAX(0,Operations!F5*(1-$B7)*(1-F$4)-Operations!F9-Operations!F10-Operations!F11)/MAX(0.000001,'Debt Sculpting'!F10),MAX(0,Operations!G5*(1-$B7)*(1-F$4)-Operations!G9-Operations!G10-Operations!G11)/MAX(0.000001,'Debt Sculpting'!G10),MAX(0,Operations!H5*(1-$B7)*(1-F$4)-Operations!H9-Operations!H10-Operations!H11)/MAX(0.000001,'Debt Sculpting'!H10),MAX(0,Operations!I5*(1-$B7)*(1-F$4)-Operations!I9-Operations!I10-Operations!I11)/MAX(0.000001,'Debt Sculpting'!I10),MAX(0,Operations!J5*(1-$B7)*(1-F$4)-Operations!J9-Operations!J10-Operations!J11)/MAX(0.000001,'Debt Sculpting'!J10),MAX(0,Operations!K5*(1-$B7)*(1-F$4)-Operations!K9-Operations!K10-Operations!K11)/MAX(0.000001,'Debt Sculpting'!K10),MAX(0,Operations!L5*(1-$B7)*(1-F$4)-Operations!L9-Operations!L10-Operations!L11)/MAX(0.000001,'Debt Sculpting'!L10))</f>
        <v>0.0722546161581241</v>
      </c>
      <c r="G7" s="36" t="n">
        <f aca="false">MIN(MAX(0,Operations!C5*(1-$B7)*(1-G$4)-Operations!C9-Operations!C10-Operations!C11)/MAX(0.000001,'Debt Sculpting'!C10),MAX(0,Operations!D5*(1-$B7)*(1-G$4)-Operations!D9-Operations!D10-Operations!D11)/MAX(0.000001,'Debt Sculpting'!D10),MAX(0,Operations!E5*(1-$B7)*(1-G$4)-Operations!E9-Operations!E10-Operations!E11)/MAX(0.000001,'Debt Sculpting'!E10),MAX(0,Operations!F5*(1-$B7)*(1-G$4)-Operations!F9-Operations!F10-Operations!F11)/MAX(0.000001,'Debt Sculpting'!F10),MAX(0,Operations!G5*(1-$B7)*(1-G$4)-Operations!G9-Operations!G10-Operations!G11)/MAX(0.000001,'Debt Sculpting'!G10),MAX(0,Operations!H5*(1-$B7)*(1-G$4)-Operations!H9-Operations!H10-Operations!H11)/MAX(0.000001,'Debt Sculpting'!H10),MAX(0,Operations!I5*(1-$B7)*(1-G$4)-Operations!I9-Operations!I10-Operations!I11)/MAX(0.000001,'Debt Sculpting'!I10),MAX(0,Operations!J5*(1-$B7)*(1-G$4)-Operations!J9-Operations!J10-Operations!J11)/MAX(0.000001,'Debt Sculpting'!J10),MAX(0,Operations!K5*(1-$B7)*(1-G$4)-Operations!K9-Operations!K10-Operations!K11)/MAX(0.000001,'Debt Sculpting'!K10),MAX(0,Operations!L5*(1-$B7)*(1-G$4)-Operations!L9-Operations!L10-Operations!L11)/MAX(0.000001,'Debt Sculpting'!L10))</f>
        <v>0.0632894335680055</v>
      </c>
    </row>
    <row r="8" customFormat="false" ht="15" hidden="false" customHeight="true" outlineLevel="0" collapsed="false">
      <c r="B8" s="32" t="n">
        <v>0.15</v>
      </c>
      <c r="C8" s="36" t="n">
        <f aca="false">MIN(MAX(0,Operations!C5*(1-$B8)*(1-C$4)-Operations!C9-Operations!C10-Operations!C11)/MAX(0.000001,'Debt Sculpting'!C10),MAX(0,Operations!D5*(1-$B8)*(1-C$4)-Operations!D9-Operations!D10-Operations!D11)/MAX(0.000001,'Debt Sculpting'!D10),MAX(0,Operations!E5*(1-$B8)*(1-C$4)-Operations!E9-Operations!E10-Operations!E11)/MAX(0.000001,'Debt Sculpting'!E10),MAX(0,Operations!F5*(1-$B8)*(1-C$4)-Operations!F9-Operations!F10-Operations!F11)/MAX(0.000001,'Debt Sculpting'!F10),MAX(0,Operations!G5*(1-$B8)*(1-C$4)-Operations!G9-Operations!G10-Operations!G11)/MAX(0.000001,'Debt Sculpting'!G10),MAX(0,Operations!H5*(1-$B8)*(1-C$4)-Operations!H9-Operations!H10-Operations!H11)/MAX(0.000001,'Debt Sculpting'!H10),MAX(0,Operations!I5*(1-$B8)*(1-C$4)-Operations!I9-Operations!I10-Operations!I11)/MAX(0.000001,'Debt Sculpting'!I10),MAX(0,Operations!J5*(1-$B8)*(1-C$4)-Operations!J9-Operations!J10-Operations!J11)/MAX(0.000001,'Debt Sculpting'!J10),MAX(0,Operations!K5*(1-$B8)*(1-C$4)-Operations!K9-Operations!K10-Operations!K11)/MAX(0.000001,'Debt Sculpting'!K10),MAX(0,Operations!L5*(1-$B8)*(1-C$4)-Operations!L9-Operations!L10-Operations!L11)/MAX(0.000001,'Debt Sculpting'!L10))</f>
        <v>0.0926753098356162</v>
      </c>
      <c r="D8" s="36" t="n">
        <f aca="false">MIN(MAX(0,Operations!C5*(1-$B8)*(1-D$4)-Operations!C9-Operations!C10-Operations!C11)/MAX(0.000001,'Debt Sculpting'!C10),MAX(0,Operations!D5*(1-$B8)*(1-D$4)-Operations!D9-Operations!D10-Operations!D11)/MAX(0.000001,'Debt Sculpting'!D10),MAX(0,Operations!E5*(1-$B8)*(1-D$4)-Operations!E9-Operations!E10-Operations!E11)/MAX(0.000001,'Debt Sculpting'!E10),MAX(0,Operations!F5*(1-$B8)*(1-D$4)-Operations!F9-Operations!F10-Operations!F11)/MAX(0.000001,'Debt Sculpting'!F10),MAX(0,Operations!G5*(1-$B8)*(1-D$4)-Operations!G9-Operations!G10-Operations!G11)/MAX(0.000001,'Debt Sculpting'!G10),MAX(0,Operations!H5*(1-$B8)*(1-D$4)-Operations!H9-Operations!H10-Operations!H11)/MAX(0.000001,'Debt Sculpting'!H10),MAX(0,Operations!I5*(1-$B8)*(1-D$4)-Operations!I9-Operations!I10-Operations!I11)/MAX(0.000001,'Debt Sculpting'!I10),MAX(0,Operations!J5*(1-$B8)*(1-D$4)-Operations!J9-Operations!J10-Operations!J11)/MAX(0.000001,'Debt Sculpting'!J10),MAX(0,Operations!K5*(1-$B8)*(1-D$4)-Operations!K9-Operations!K10-Operations!K11)/MAX(0.000001,'Debt Sculpting'!K10),MAX(0,Operations!L5*(1-$B8)*(1-D$4)-Operations!L9-Operations!L10-Operations!L11)/MAX(0.000001,'Debt Sculpting'!L10))</f>
        <v>0.0842081929449487</v>
      </c>
      <c r="E8" s="36" t="n">
        <f aca="false">MIN(MAX(0,Operations!C5*(1-$B8)*(1-E$4)-Operations!C9-Operations!C10-Operations!C11)/MAX(0.000001,'Debt Sculpting'!C10),MAX(0,Operations!D5*(1-$B8)*(1-E$4)-Operations!D9-Operations!D10-Operations!D11)/MAX(0.000001,'Debt Sculpting'!D10),MAX(0,Operations!E5*(1-$B8)*(1-E$4)-Operations!E9-Operations!E10-Operations!E11)/MAX(0.000001,'Debt Sculpting'!E10),MAX(0,Operations!F5*(1-$B8)*(1-E$4)-Operations!F9-Operations!F10-Operations!F11)/MAX(0.000001,'Debt Sculpting'!F10),MAX(0,Operations!G5*(1-$B8)*(1-E$4)-Operations!G9-Operations!G10-Operations!G11)/MAX(0.000001,'Debt Sculpting'!G10),MAX(0,Operations!H5*(1-$B8)*(1-E$4)-Operations!H9-Operations!H10-Operations!H11)/MAX(0.000001,'Debt Sculpting'!H10),MAX(0,Operations!I5*(1-$B8)*(1-E$4)-Operations!I9-Operations!I10-Operations!I11)/MAX(0.000001,'Debt Sculpting'!I10),MAX(0,Operations!J5*(1-$B8)*(1-E$4)-Operations!J9-Operations!J10-Operations!J11)/MAX(0.000001,'Debt Sculpting'!J10),MAX(0,Operations!K5*(1-$B8)*(1-E$4)-Operations!K9-Operations!K10-Operations!K11)/MAX(0.000001,'Debt Sculpting'!K10),MAX(0,Operations!L5*(1-$B8)*(1-E$4)-Operations!L9-Operations!L10-Operations!L11)/MAX(0.000001,'Debt Sculpting'!L10))</f>
        <v>0.0757410760542812</v>
      </c>
      <c r="F8" s="36" t="n">
        <f aca="false">MIN(MAX(0,Operations!C5*(1-$B8)*(1-F$4)-Operations!C9-Operations!C10-Operations!C11)/MAX(0.000001,'Debt Sculpting'!C10),MAX(0,Operations!D5*(1-$B8)*(1-F$4)-Operations!D9-Operations!D10-Operations!D11)/MAX(0.000001,'Debt Sculpting'!D10),MAX(0,Operations!E5*(1-$B8)*(1-F$4)-Operations!E9-Operations!E10-Operations!E11)/MAX(0.000001,'Debt Sculpting'!E10),MAX(0,Operations!F5*(1-$B8)*(1-F$4)-Operations!F9-Operations!F10-Operations!F11)/MAX(0.000001,'Debt Sculpting'!F10),MAX(0,Operations!G5*(1-$B8)*(1-F$4)-Operations!G9-Operations!G10-Operations!G11)/MAX(0.000001,'Debt Sculpting'!G10),MAX(0,Operations!H5*(1-$B8)*(1-F$4)-Operations!H9-Operations!H10-Operations!H11)/MAX(0.000001,'Debt Sculpting'!H10),MAX(0,Operations!I5*(1-$B8)*(1-F$4)-Operations!I9-Operations!I10-Operations!I11)/MAX(0.000001,'Debt Sculpting'!I10),MAX(0,Operations!J5*(1-$B8)*(1-F$4)-Operations!J9-Operations!J10-Operations!J11)/MAX(0.000001,'Debt Sculpting'!J10),MAX(0,Operations!K5*(1-$B8)*(1-F$4)-Operations!K9-Operations!K10-Operations!K11)/MAX(0.000001,'Debt Sculpting'!K10),MAX(0,Operations!L5*(1-$B8)*(1-F$4)-Operations!L9-Operations!L10-Operations!L11)/MAX(0.000001,'Debt Sculpting'!L10))</f>
        <v>0.0672739591636137</v>
      </c>
      <c r="G8" s="36" t="n">
        <f aca="false">MIN(MAX(0,Operations!C5*(1-$B8)*(1-G$4)-Operations!C9-Operations!C10-Operations!C11)/MAX(0.000001,'Debt Sculpting'!C10),MAX(0,Operations!D5*(1-$B8)*(1-G$4)-Operations!D9-Operations!D10-Operations!D11)/MAX(0.000001,'Debt Sculpting'!D10),MAX(0,Operations!E5*(1-$B8)*(1-G$4)-Operations!E9-Operations!E10-Operations!E11)/MAX(0.000001,'Debt Sculpting'!E10),MAX(0,Operations!F5*(1-$B8)*(1-G$4)-Operations!F9-Operations!F10-Operations!F11)/MAX(0.000001,'Debt Sculpting'!F10),MAX(0,Operations!G5*(1-$B8)*(1-G$4)-Operations!G9-Operations!G10-Operations!G11)/MAX(0.000001,'Debt Sculpting'!G10),MAX(0,Operations!H5*(1-$B8)*(1-G$4)-Operations!H9-Operations!H10-Operations!H11)/MAX(0.000001,'Debt Sculpting'!H10),MAX(0,Operations!I5*(1-$B8)*(1-G$4)-Operations!I9-Operations!I10-Operations!I11)/MAX(0.000001,'Debt Sculpting'!I10),MAX(0,Operations!J5*(1-$B8)*(1-G$4)-Operations!J9-Operations!J10-Operations!J11)/MAX(0.000001,'Debt Sculpting'!J10),MAX(0,Operations!K5*(1-$B8)*(1-G$4)-Operations!K9-Operations!K10-Operations!K11)/MAX(0.000001,'Debt Sculpting'!K10),MAX(0,Operations!L5*(1-$B8)*(1-G$4)-Operations!L9-Operations!L10-Operations!L11)/MAX(0.000001,'Debt Sculpting'!L10))</f>
        <v>0.0588068422729463</v>
      </c>
    </row>
    <row r="9" customFormat="false" ht="15" hidden="false" customHeight="true" outlineLevel="0" collapsed="false">
      <c r="B9" s="32" t="n">
        <v>0.2</v>
      </c>
      <c r="C9" s="36" t="n">
        <f aca="false">MIN(MAX(0,Operations!C5*(1-$B9)*(1-C$4)-Operations!C9-Operations!C10-Operations!C11)/MAX(0.000001,'Debt Sculpting'!C10),MAX(0,Operations!D5*(1-$B9)*(1-C$4)-Operations!D9-Operations!D10-Operations!D11)/MAX(0.000001,'Debt Sculpting'!D10),MAX(0,Operations!E5*(1-$B9)*(1-C$4)-Operations!E9-Operations!E10-Operations!E11)/MAX(0.000001,'Debt Sculpting'!E10),MAX(0,Operations!F5*(1-$B9)*(1-C$4)-Operations!F9-Operations!F10-Operations!F11)/MAX(0.000001,'Debt Sculpting'!F10),MAX(0,Operations!G5*(1-$B9)*(1-C$4)-Operations!G9-Operations!G10-Operations!G11)/MAX(0.000001,'Debt Sculpting'!G10),MAX(0,Operations!H5*(1-$B9)*(1-C$4)-Operations!H9-Operations!H10-Operations!H11)/MAX(0.000001,'Debt Sculpting'!H10),MAX(0,Operations!I5*(1-$B9)*(1-C$4)-Operations!I9-Operations!I10-Operations!I11)/MAX(0.000001,'Debt Sculpting'!I10),MAX(0,Operations!J5*(1-$B9)*(1-C$4)-Operations!J9-Operations!J10-Operations!J11)/MAX(0.000001,'Debt Sculpting'!J10),MAX(0,Operations!K5*(1-$B9)*(1-C$4)-Operations!K9-Operations!K10-Operations!K11)/MAX(0.000001,'Debt Sculpting'!K10),MAX(0,Operations!L5*(1-$B9)*(1-C$4)-Operations!L9-Operations!L10-Operations!L11)/MAX(0.000001,'Debt Sculpting'!L10))</f>
        <v>0.0862004557427529</v>
      </c>
      <c r="D9" s="36" t="n">
        <f aca="false">MIN(MAX(0,Operations!C5*(1-$B9)*(1-D$4)-Operations!C9-Operations!C10-Operations!C11)/MAX(0.000001,'Debt Sculpting'!C10),MAX(0,Operations!D5*(1-$B9)*(1-D$4)-Operations!D9-Operations!D10-Operations!D11)/MAX(0.000001,'Debt Sculpting'!D10),MAX(0,Operations!E5*(1-$B9)*(1-D$4)-Operations!E9-Operations!E10-Operations!E11)/MAX(0.000001,'Debt Sculpting'!E10),MAX(0,Operations!F5*(1-$B9)*(1-D$4)-Operations!F9-Operations!F10-Operations!F11)/MAX(0.000001,'Debt Sculpting'!F10),MAX(0,Operations!G5*(1-$B9)*(1-D$4)-Operations!G9-Operations!G10-Operations!G11)/MAX(0.000001,'Debt Sculpting'!G10),MAX(0,Operations!H5*(1-$B9)*(1-D$4)-Operations!H9-Operations!H10-Operations!H11)/MAX(0.000001,'Debt Sculpting'!H10),MAX(0,Operations!I5*(1-$B9)*(1-D$4)-Operations!I9-Operations!I10-Operations!I11)/MAX(0.000001,'Debt Sculpting'!I10),MAX(0,Operations!J5*(1-$B9)*(1-D$4)-Operations!J9-Operations!J10-Operations!J11)/MAX(0.000001,'Debt Sculpting'!J10),MAX(0,Operations!K5*(1-$B9)*(1-D$4)-Operations!K9-Operations!K10-Operations!K11)/MAX(0.000001,'Debt Sculpting'!K10),MAX(0,Operations!L5*(1-$B9)*(1-D$4)-Operations!L9-Operations!L10-Operations!L11)/MAX(0.000001,'Debt Sculpting'!L10))</f>
        <v>0.0782314045515364</v>
      </c>
      <c r="E9" s="36" t="n">
        <f aca="false">MIN(MAX(0,Operations!C5*(1-$B9)*(1-E$4)-Operations!C9-Operations!C10-Operations!C11)/MAX(0.000001,'Debt Sculpting'!C10),MAX(0,Operations!D5*(1-$B9)*(1-E$4)-Operations!D9-Operations!D10-Operations!D11)/MAX(0.000001,'Debt Sculpting'!D10),MAX(0,Operations!E5*(1-$B9)*(1-E$4)-Operations!E9-Operations!E10-Operations!E11)/MAX(0.000001,'Debt Sculpting'!E10),MAX(0,Operations!F5*(1-$B9)*(1-E$4)-Operations!F9-Operations!F10-Operations!F11)/MAX(0.000001,'Debt Sculpting'!F10),MAX(0,Operations!G5*(1-$B9)*(1-E$4)-Operations!G9-Operations!G10-Operations!G11)/MAX(0.000001,'Debt Sculpting'!G10),MAX(0,Operations!H5*(1-$B9)*(1-E$4)-Operations!H9-Operations!H10-Operations!H11)/MAX(0.000001,'Debt Sculpting'!H10),MAX(0,Operations!I5*(1-$B9)*(1-E$4)-Operations!I9-Operations!I10-Operations!I11)/MAX(0.000001,'Debt Sculpting'!I10),MAX(0,Operations!J5*(1-$B9)*(1-E$4)-Operations!J9-Operations!J10-Operations!J11)/MAX(0.000001,'Debt Sculpting'!J10),MAX(0,Operations!K5*(1-$B9)*(1-E$4)-Operations!K9-Operations!K10-Operations!K11)/MAX(0.000001,'Debt Sculpting'!K10),MAX(0,Operations!L5*(1-$B9)*(1-E$4)-Operations!L9-Operations!L10-Operations!L11)/MAX(0.000001,'Debt Sculpting'!L10))</f>
        <v>0.0702623533603199</v>
      </c>
      <c r="F9" s="36" t="n">
        <f aca="false">MIN(MAX(0,Operations!C5*(1-$B9)*(1-F$4)-Operations!C9-Operations!C10-Operations!C11)/MAX(0.000001,'Debt Sculpting'!C10),MAX(0,Operations!D5*(1-$B9)*(1-F$4)-Operations!D9-Operations!D10-Operations!D11)/MAX(0.000001,'Debt Sculpting'!D10),MAX(0,Operations!E5*(1-$B9)*(1-F$4)-Operations!E9-Operations!E10-Operations!E11)/MAX(0.000001,'Debt Sculpting'!E10),MAX(0,Operations!F5*(1-$B9)*(1-F$4)-Operations!F9-Operations!F10-Operations!F11)/MAX(0.000001,'Debt Sculpting'!F10),MAX(0,Operations!G5*(1-$B9)*(1-F$4)-Operations!G9-Operations!G10-Operations!G11)/MAX(0.000001,'Debt Sculpting'!G10),MAX(0,Operations!H5*(1-$B9)*(1-F$4)-Operations!H9-Operations!H10-Operations!H11)/MAX(0.000001,'Debt Sculpting'!H10),MAX(0,Operations!I5*(1-$B9)*(1-F$4)-Operations!I9-Operations!I10-Operations!I11)/MAX(0.000001,'Debt Sculpting'!I10),MAX(0,Operations!J5*(1-$B9)*(1-F$4)-Operations!J9-Operations!J10-Operations!J11)/MAX(0.000001,'Debt Sculpting'!J10),MAX(0,Operations!K5*(1-$B9)*(1-F$4)-Operations!K9-Operations!K10-Operations!K11)/MAX(0.000001,'Debt Sculpting'!K10),MAX(0,Operations!L5*(1-$B9)*(1-F$4)-Operations!L9-Operations!L10-Operations!L11)/MAX(0.000001,'Debt Sculpting'!L10))</f>
        <v>0.0622933021691035</v>
      </c>
      <c r="G9" s="36" t="n">
        <f aca="false">MIN(MAX(0,Operations!C5*(1-$B9)*(1-G$4)-Operations!C9-Operations!C10-Operations!C11)/MAX(0.000001,'Debt Sculpting'!C10),MAX(0,Operations!D5*(1-$B9)*(1-G$4)-Operations!D9-Operations!D10-Operations!D11)/MAX(0.000001,'Debt Sculpting'!D10),MAX(0,Operations!E5*(1-$B9)*(1-G$4)-Operations!E9-Operations!E10-Operations!E11)/MAX(0.000001,'Debt Sculpting'!E10),MAX(0,Operations!F5*(1-$B9)*(1-G$4)-Operations!F9-Operations!F10-Operations!F11)/MAX(0.000001,'Debt Sculpting'!F10),MAX(0,Operations!G5*(1-$B9)*(1-G$4)-Operations!G9-Operations!G10-Operations!G11)/MAX(0.000001,'Debt Sculpting'!G10),MAX(0,Operations!H5*(1-$B9)*(1-G$4)-Operations!H9-Operations!H10-Operations!H11)/MAX(0.000001,'Debt Sculpting'!H10),MAX(0,Operations!I5*(1-$B9)*(1-G$4)-Operations!I9-Operations!I10-Operations!I11)/MAX(0.000001,'Debt Sculpting'!I10),MAX(0,Operations!J5*(1-$B9)*(1-G$4)-Operations!J9-Operations!J10-Operations!J11)/MAX(0.000001,'Debt Sculpting'!J10),MAX(0,Operations!K5*(1-$B9)*(1-G$4)-Operations!K9-Operations!K10-Operations!K11)/MAX(0.000001,'Debt Sculpting'!K10),MAX(0,Operations!L5*(1-$B9)*(1-G$4)-Operations!L9-Operations!L10-Operations!L11)/MAX(0.000001,'Debt Sculpting'!L10))</f>
        <v>0.054324250977887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236</v>
      </c>
      <c r="C2" s="2"/>
    </row>
    <row r="4" customFormat="false" ht="15" hidden="false" customHeight="true" outlineLevel="0" collapsed="false">
      <c r="B4" s="16" t="s">
        <v>237</v>
      </c>
      <c r="C4" s="16" t="s">
        <v>44</v>
      </c>
    </row>
    <row r="5" customFormat="false" ht="15" hidden="false" customHeight="true" outlineLevel="0" collapsed="false">
      <c r="B5" s="1" t="s">
        <v>238</v>
      </c>
      <c r="C5" s="1" t="str">
        <f aca="false">IF(ABS(Construction!M5-1)&lt;0.000001,"PASS","FAIL")</f>
        <v>PASS</v>
      </c>
    </row>
    <row r="6" customFormat="false" ht="15" hidden="false" customHeight="true" outlineLevel="0" collapsed="false">
      <c r="B6" s="1" t="s">
        <v>239</v>
      </c>
      <c r="C6" s="1" t="str">
        <f aca="false">IF(ABS('Sources &amp; Uses'!F9)&lt;0.000001,"PASS","FAIL")</f>
        <v>PASS</v>
      </c>
    </row>
    <row r="7" customFormat="false" ht="15" hidden="false" customHeight="true" outlineLevel="0" collapsed="false">
      <c r="B7" s="1" t="s">
        <v>240</v>
      </c>
      <c r="C7" s="1" t="str">
        <f aca="false">IF(MIN('Debt Sculpting'!C9:L9)&gt;=0,"PASS","FAIL")</f>
        <v>PASS</v>
      </c>
    </row>
    <row r="8" customFormat="false" ht="15" hidden="false" customHeight="true" outlineLevel="0" collapsed="false">
      <c r="B8" s="1" t="s">
        <v>241</v>
      </c>
      <c r="C8" s="1" t="str">
        <f aca="false">IF(MIN(Coverage!C7:L7)&gt;=0,"PASS","REVIEW")</f>
        <v>REVIEW</v>
      </c>
    </row>
    <row r="9" customFormat="false" ht="15" hidden="false" customHeight="true" outlineLevel="0" collapsed="false">
      <c r="B9" s="1" t="s">
        <v>242</v>
      </c>
      <c r="C9" s="1" t="str">
        <f aca="false">IF(MIN(Coverage!C11:L11)&gt;=1,"PASS","REVIEW")</f>
        <v>PASS</v>
      </c>
    </row>
    <row r="10" customFormat="false" ht="15" hidden="false" customHeight="true" outlineLevel="0" collapsed="false">
      <c r="B10" s="1" t="s">
        <v>243</v>
      </c>
      <c r="C10" s="1" t="str">
        <f aca="false">IF(MIN(Coverage!C8:L8)&gt;0,"PASS","FAIL")</f>
        <v>PASS</v>
      </c>
    </row>
    <row r="11" customFormat="false" ht="15" hidden="false" customHeight="true" outlineLevel="0" collapsed="false">
      <c r="B11" s="1" t="s">
        <v>244</v>
      </c>
      <c r="C11" s="1" t="str">
        <f aca="false">IF('Debt Sculpting'!L9&lt;0.000001,"PASS","REVIEW")</f>
        <v>PASS</v>
      </c>
    </row>
    <row r="12" customFormat="false" ht="15" hidden="false" customHeight="true" outlineLevel="0" collapsed="false">
      <c r="B12" s="1" t="s">
        <v>245</v>
      </c>
      <c r="C12" s="1" t="str">
        <f aca="false">IF(COUNTIF(C5:C11,"FAIL")=0,"PASS","FAIL")</f>
        <v>PASS</v>
      </c>
    </row>
  </sheetData>
  <mergeCells count="1">
    <mergeCell ref="B2:C2"/>
  </mergeCells>
  <conditionalFormatting sqref="C5:C12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246</v>
      </c>
      <c r="C2" s="2"/>
      <c r="D2" s="2"/>
      <c r="E2" s="2"/>
    </row>
    <row r="4" customFormat="false" ht="15" hidden="false" customHeight="true" outlineLevel="0" collapsed="false">
      <c r="B4" s="16" t="s">
        <v>247</v>
      </c>
      <c r="C4" s="16" t="s">
        <v>248</v>
      </c>
      <c r="D4" s="16" t="s">
        <v>107</v>
      </c>
      <c r="E4" s="16" t="s">
        <v>249</v>
      </c>
    </row>
    <row r="5" customFormat="false" ht="15" hidden="false" customHeight="true" outlineLevel="0" collapsed="false">
      <c r="B5" s="39" t="s">
        <v>250</v>
      </c>
      <c r="C5" s="39" t="s">
        <v>251</v>
      </c>
      <c r="D5" s="39" t="s">
        <v>252</v>
      </c>
      <c r="E5" s="39" t="s">
        <v>253</v>
      </c>
    </row>
    <row r="6" customFormat="false" ht="15" hidden="false" customHeight="true" outlineLevel="0" collapsed="false">
      <c r="B6" s="39" t="s">
        <v>254</v>
      </c>
      <c r="C6" s="39" t="s">
        <v>255</v>
      </c>
      <c r="D6" s="39" t="s">
        <v>252</v>
      </c>
      <c r="E6" s="39" t="s">
        <v>256</v>
      </c>
    </row>
    <row r="7" customFormat="false" ht="15" hidden="false" customHeight="true" outlineLevel="0" collapsed="false">
      <c r="B7" s="39" t="s">
        <v>257</v>
      </c>
      <c r="C7" s="39" t="s">
        <v>258</v>
      </c>
      <c r="D7" s="39" t="s">
        <v>252</v>
      </c>
      <c r="E7" s="39" t="s">
        <v>259</v>
      </c>
    </row>
    <row r="8" customFormat="false" ht="15" hidden="false" customHeight="true" outlineLevel="0" collapsed="false">
      <c r="B8" s="39" t="s">
        <v>260</v>
      </c>
      <c r="C8" s="39" t="s">
        <v>261</v>
      </c>
      <c r="D8" s="39" t="s">
        <v>252</v>
      </c>
      <c r="E8" s="39" t="s">
        <v>262</v>
      </c>
    </row>
    <row r="9" customFormat="false" ht="15" hidden="false" customHeight="true" outlineLevel="0" collapsed="false">
      <c r="B9" s="39" t="s">
        <v>263</v>
      </c>
      <c r="C9" s="39" t="s">
        <v>264</v>
      </c>
      <c r="D9" s="39" t="s">
        <v>252</v>
      </c>
      <c r="E9" s="39" t="s">
        <v>265</v>
      </c>
    </row>
    <row r="10" customFormat="false" ht="15" hidden="false" customHeight="true" outlineLevel="0" collapsed="false">
      <c r="B10" s="39" t="s">
        <v>266</v>
      </c>
      <c r="C10" s="39" t="s">
        <v>267</v>
      </c>
      <c r="D10" s="39" t="s">
        <v>252</v>
      </c>
      <c r="E10" s="39" t="s">
        <v>268</v>
      </c>
    </row>
    <row r="11" customFormat="false" ht="15" hidden="false" customHeight="false" outlineLevel="0" collapsed="false">
      <c r="B11" s="40" t="s">
        <v>269</v>
      </c>
      <c r="C11" s="40" t="s">
        <v>270</v>
      </c>
      <c r="D11" s="40" t="s">
        <v>8</v>
      </c>
      <c r="E11" s="40" t="s">
        <v>271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272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95</v>
      </c>
      <c r="C4" s="16" t="s">
        <v>273</v>
      </c>
      <c r="D4" s="16" t="s">
        <v>274</v>
      </c>
      <c r="E4" s="16" t="s">
        <v>275</v>
      </c>
      <c r="F4" s="16" t="s">
        <v>276</v>
      </c>
      <c r="G4" s="16" t="s">
        <v>277</v>
      </c>
    </row>
    <row r="5" customFormat="false" ht="15" hidden="false" customHeight="true" outlineLevel="0" collapsed="false">
      <c r="B5" s="41" t="s">
        <v>8</v>
      </c>
      <c r="C5" s="41" t="s">
        <v>278</v>
      </c>
      <c r="D5" s="41" t="s">
        <v>270</v>
      </c>
      <c r="E5" s="41" t="s">
        <v>279</v>
      </c>
      <c r="F5" s="41" t="s">
        <v>280</v>
      </c>
      <c r="G5" s="41" t="s">
        <v>281</v>
      </c>
    </row>
    <row r="6" customFormat="false" ht="15" hidden="false" customHeight="true" outlineLevel="0" collapsed="false">
      <c r="B6" s="41"/>
      <c r="C6" s="41"/>
      <c r="D6" s="41"/>
      <c r="E6" s="41"/>
      <c r="F6" s="41"/>
      <c r="G6" s="41"/>
    </row>
    <row r="7" customFormat="false" ht="15" hidden="false" customHeight="true" outlineLevel="0" collapsed="false">
      <c r="B7" s="41"/>
      <c r="C7" s="41"/>
      <c r="D7" s="41"/>
      <c r="E7" s="41"/>
      <c r="F7" s="41"/>
      <c r="G7" s="41"/>
    </row>
    <row r="8" customFormat="false" ht="15" hidden="false" customHeight="true" outlineLevel="0" collapsed="false">
      <c r="B8" s="41"/>
      <c r="C8" s="41"/>
      <c r="D8" s="41"/>
      <c r="E8" s="41"/>
      <c r="F8" s="41"/>
      <c r="G8" s="41"/>
    </row>
    <row r="9" customFormat="false" ht="15" hidden="false" customHeight="true" outlineLevel="0" collapsed="false">
      <c r="B9" s="41"/>
      <c r="C9" s="41"/>
      <c r="D9" s="41"/>
      <c r="E9" s="41"/>
      <c r="F9" s="41"/>
      <c r="G9" s="41"/>
    </row>
    <row r="10" customFormat="false" ht="15" hidden="false" customHeight="true" outlineLevel="0" collapsed="false">
      <c r="B10" s="41"/>
      <c r="C10" s="41"/>
      <c r="D10" s="41"/>
      <c r="E10" s="41"/>
      <c r="F10" s="41"/>
      <c r="G10" s="41"/>
    </row>
    <row r="11" customFormat="false" ht="15" hidden="false" customHeight="true" outlineLevel="0" collapsed="false">
      <c r="B11" s="41"/>
      <c r="C11" s="41"/>
      <c r="D11" s="41"/>
      <c r="E11" s="41"/>
      <c r="F11" s="41"/>
      <c r="G11" s="41"/>
    </row>
    <row r="12" customFormat="false" ht="15" hidden="false" customHeight="true" outlineLevel="0" collapsed="false">
      <c r="B12" s="41"/>
      <c r="C12" s="41"/>
      <c r="D12" s="41"/>
      <c r="E12" s="41"/>
      <c r="F12" s="41"/>
      <c r="G12" s="41"/>
    </row>
    <row r="13" customFormat="false" ht="15" hidden="false" customHeight="true" outlineLevel="0" collapsed="false">
      <c r="B13" s="41"/>
      <c r="C13" s="41"/>
      <c r="D13" s="41"/>
      <c r="E13" s="41"/>
      <c r="F13" s="41"/>
      <c r="G13" s="41"/>
    </row>
    <row r="14" customFormat="false" ht="15" hidden="false" customHeight="true" outlineLevel="0" collapsed="false">
      <c r="B14" s="41"/>
      <c r="C14" s="41"/>
      <c r="D14" s="41"/>
      <c r="E14" s="41"/>
      <c r="F14" s="41"/>
      <c r="G14" s="41"/>
    </row>
    <row r="15" customFormat="false" ht="15" hidden="false" customHeight="true" outlineLevel="0" collapsed="false">
      <c r="B15" s="41"/>
      <c r="C15" s="41"/>
      <c r="D15" s="41"/>
      <c r="E15" s="41"/>
      <c r="F15" s="41"/>
      <c r="G15" s="41"/>
    </row>
    <row r="16" customFormat="false" ht="15" hidden="false" customHeight="true" outlineLevel="0" collapsed="false">
      <c r="B16" s="41"/>
      <c r="C16" s="41"/>
      <c r="D16" s="41"/>
      <c r="E16" s="41"/>
      <c r="F16" s="41"/>
      <c r="G16" s="41"/>
    </row>
    <row r="17" customFormat="false" ht="15" hidden="false" customHeight="true" outlineLevel="0" collapsed="false">
      <c r="B17" s="41"/>
      <c r="C17" s="41"/>
      <c r="D17" s="41"/>
      <c r="E17" s="41"/>
      <c r="F17" s="41"/>
      <c r="G17" s="41"/>
    </row>
    <row r="18" customFormat="false" ht="15" hidden="false" customHeight="true" outlineLevel="0" collapsed="false">
      <c r="B18" s="41"/>
      <c r="C18" s="41"/>
      <c r="D18" s="41"/>
      <c r="E18" s="41"/>
      <c r="F18" s="41"/>
      <c r="G18" s="41"/>
    </row>
    <row r="19" customFormat="false" ht="15" hidden="false" customHeight="true" outlineLevel="0" collapsed="false">
      <c r="B19" s="41"/>
      <c r="C19" s="41"/>
      <c r="D19" s="41"/>
      <c r="E19" s="41"/>
      <c r="F19" s="41"/>
      <c r="G19" s="41"/>
    </row>
    <row r="20" customFormat="false" ht="15" hidden="false" customHeight="true" outlineLevel="0" collapsed="false">
      <c r="B20" s="41"/>
      <c r="C20" s="41"/>
      <c r="D20" s="41"/>
      <c r="E20" s="41"/>
      <c r="F20" s="41"/>
      <c r="G20" s="41"/>
    </row>
    <row r="21" customFormat="false" ht="15" hidden="false" customHeight="true" outlineLevel="0" collapsed="false">
      <c r="B21" s="41"/>
      <c r="C21" s="41"/>
      <c r="D21" s="41"/>
      <c r="E21" s="41"/>
      <c r="F21" s="41"/>
      <c r="G21" s="41"/>
    </row>
    <row r="22" customFormat="false" ht="15" hidden="false" customHeight="true" outlineLevel="0" collapsed="false">
      <c r="B22" s="41"/>
      <c r="C22" s="41"/>
      <c r="D22" s="41"/>
      <c r="E22" s="41"/>
      <c r="F22" s="41"/>
      <c r="G22" s="41"/>
    </row>
    <row r="23" customFormat="false" ht="15" hidden="false" customHeight="true" outlineLevel="0" collapsed="false">
      <c r="B23" s="41"/>
      <c r="C23" s="41"/>
      <c r="D23" s="41"/>
      <c r="E23" s="41"/>
      <c r="F23" s="41"/>
      <c r="G23" s="41"/>
    </row>
    <row r="24" customFormat="false" ht="15" hidden="false" customHeight="true" outlineLevel="0" collapsed="false">
      <c r="B24" s="41"/>
      <c r="C24" s="41"/>
      <c r="D24" s="41"/>
      <c r="E24" s="41"/>
      <c r="F24" s="41"/>
      <c r="G24" s="41"/>
    </row>
    <row r="25" customFormat="false" ht="15" hidden="false" customHeight="true" outlineLevel="0" collapsed="false">
      <c r="B25" s="41"/>
      <c r="C25" s="41"/>
      <c r="D25" s="41"/>
      <c r="E25" s="41"/>
      <c r="F25" s="41"/>
      <c r="G25" s="41"/>
    </row>
    <row r="26" customFormat="false" ht="15" hidden="false" customHeight="true" outlineLevel="0" collapsed="false">
      <c r="B26" s="41"/>
      <c r="C26" s="41"/>
      <c r="D26" s="41"/>
      <c r="E26" s="41"/>
      <c r="F26" s="41"/>
      <c r="G26" s="41"/>
    </row>
    <row r="27" customFormat="false" ht="15" hidden="false" customHeight="true" outlineLevel="0" collapsed="false">
      <c r="B27" s="41"/>
      <c r="C27" s="41"/>
      <c r="D27" s="41"/>
      <c r="E27" s="41"/>
      <c r="F27" s="41"/>
      <c r="G27" s="41"/>
    </row>
    <row r="28" customFormat="false" ht="15" hidden="false" customHeight="true" outlineLevel="0" collapsed="false">
      <c r="B28" s="41"/>
      <c r="C28" s="41"/>
      <c r="D28" s="41"/>
      <c r="E28" s="41"/>
      <c r="F28" s="41"/>
      <c r="G28" s="41"/>
    </row>
    <row r="29" customFormat="false" ht="15" hidden="false" customHeight="true" outlineLevel="0" collapsed="false">
      <c r="B29" s="41"/>
      <c r="C29" s="41"/>
      <c r="D29" s="41"/>
      <c r="E29" s="41"/>
      <c r="F29" s="41"/>
      <c r="G29" s="41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2026-08-04T03:47:43Z</dcterms:created>
  <dc:creator>openpyxl</dc:creator>
  <dc:description/>
  <dc:language>en-US</dc:language>
  <cp:lastModifiedBy/>
  <dcterms:modified xsi:type="dcterms:W3CDTF">2026-08-04T03:48:49Z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