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nstruction" sheetId="6" state="visible" r:id="rId8"/>
    <sheet name="Sources &amp; Uses" sheetId="7" state="visible" r:id="rId9"/>
    <sheet name="Operations" sheetId="8" state="visible" r:id="rId10"/>
    <sheet name="Debt Sculpting" sheetId="9" state="visible" r:id="rId11"/>
    <sheet name="DSRA" sheetId="10" state="visible" r:id="rId12"/>
    <sheet name="Coverage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<sst xmlns="http://schemas.openxmlformats.org/spreadsheetml/2006/main" count="432" uniqueCount="291">
  <si>
    <t xml:space="preserve">[PROJECT] — Project Finance Model</t>
  </si>
  <si>
    <t xml:space="preserve">Project / concession:</t>
  </si>
  <si>
    <t xml:space="preserve">Utility-scale solar benchmark project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</si>
  <si>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</si>
  <si>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</si>
  <si>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</si>
  <si>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</si>
  <si>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</si>
  <si>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2024-07-01</t>
  </si>
  <si>
    <t xml:space="preserve">Refresh cadence:</t>
  </si>
  <si>
    <t xml:space="preserve">Weekly construction; monthly operations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</si>
  <si>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</si>
  <si>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</si>
  <si>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</si>
  <si>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</si>
  <si>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</si>
  <si>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</si>
  <si>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</si>
  <si>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</si>
  <si>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</si>
  <si>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</si>
  <si>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</si>
  <si>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</si>
  <si>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</si>
  <si>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Finance — Institutional Decision Surface</t>
  </si>
  <si>
    <t xml:space="preserve">Model ID</t>
  </si>
  <si>
    <t xml:space="preserve">20</t>
  </si>
  <si>
    <t xml:space="preserve">Domain</t>
  </si>
  <si>
    <t xml:space="preserve">Project Finance</t>
  </si>
  <si>
    <t xml:space="preserve">Declared maturity</t>
  </si>
  <si>
    <t xml:space="preserve">M2</t>
  </si>
  <si>
    <t xml:space="preserve">Canonical builder</t>
  </si>
  <si>
    <t xml:space="preserve">tools/builders/build_project_finance_release.py</t>
  </si>
  <si>
    <t xml:space="preserve">Decision arena</t>
  </si>
  <si>
    <t xml:space="preserve">sponsor, lender, technical adviser, offtaker, insurer and investment committee</t>
  </si>
  <si>
    <t xml:space="preserve">Committee artifact</t>
  </si>
  <si>
    <t xml:space="preserve">bank case, downside case and financing base-case pack</t>
  </si>
  <si>
    <t xml:space="preserve">Operating cadence</t>
  </si>
  <si>
    <t xml:space="preserve">monthly construction/operations; quarterly lender; annual model audit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</si>
  <si>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</si>
  <si>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</si>
  <si>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</si>
  <si>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</si>
  <si>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</si>
  <si>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</si>
  <si>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construction funding and IDC</t>
  </si>
  <si>
    <t xml:space="preserve">OPEN</t>
  </si>
  <si>
    <t xml:space="preserve">operating CFADS</t>
  </si>
  <si>
    <t xml:space="preserve">debt sculpting and DSRA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</si>
  <si>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</si>
  <si>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</si>
  <si>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</si>
  <si>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lender's base case versus sponsor case?</t>
  </si>
  <si>
    <t xml:space="preserve">Which completion tests release support?</t>
  </si>
  <si>
    <t xml:space="preserve">What cash is trapped before distributions?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</si>
  <si>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</si>
  <si>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</si>
  <si>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</si>
  <si>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delay and cost overrun</t>
  </si>
  <si>
    <t xml:space="preserve">volume / resource shortfall</t>
  </si>
  <si>
    <t xml:space="preserve">price / offtaker stress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</si>
  <si>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</si>
  <si>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</si>
  <si>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</si>
  <si>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EPC and O&amp;M contracts</t>
  </si>
  <si>
    <t xml:space="preserve">offtake / concession agreement</t>
  </si>
  <si>
    <t xml:space="preserve">independent engineer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</si>
  <si>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</si>
  <si>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</si>
  <si>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</si>
  <si>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</si>
  <si>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construction draws conserve cost</t>
  </si>
  <si>
    <t xml:space="preserve">IDC follows funded debt timing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</si>
  <si>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</si>
  <si>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</si>
  <si>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</si>
  <si>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sponsor schedule instead of engineer schedule</t>
  </si>
  <si>
    <t xml:space="preserve">assuming liquidated damages are fully collectible</t>
  </si>
  <si>
    <t xml:space="preserve">sizing debt on P50 while downside is P90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</si>
  <si>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</si>
  <si>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</si>
  <si>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</si>
  <si>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</si>
  <si>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</si>
  <si>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</si>
  <si>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</si>
  <si>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</si>
  <si>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</si>
  <si>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</si>
  <si>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</si>
  <si>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</si>
  <si>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World Bank PPP Reference Guide</t>
  </si>
  <si>
    <t xml:space="preserve">project preparation and risk allocation</t>
  </si>
  <si>
    <t xml:space="preserve">https://ppp.worldbank.org/public-private-partnership/library/ppp-reference-guide-3-0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</si>
  <si>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</si>
  <si>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</si>
  <si>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</si>
  <si>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</si>
  <si>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</si>
  <si>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</si>
  <si>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</si>
  <si>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</si>
  <si>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</si>
  <si>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</si>
  <si>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</si>
  <si>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</si>
  <si>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</si>
  <si>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</si>
  <si>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</si>
  <si>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</si>
  <si>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construction progress</t>
  </si>
  <si>
    <t xml:space="preserve">monthly</t>
  </si>
  <si>
    <t xml:space="preserve">engineer-certified progress and cost</t>
  </si>
  <si>
    <t xml:space="preserve">TO MAP</t>
  </si>
  <si>
    <t xml:space="preserve">operating data</t>
  </si>
  <si>
    <t xml:space="preserve">meter / volume and invoice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</si>
  <si>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</si>
  <si>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</si>
  <si>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</si>
  <si>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</si>
  <si>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</si>
  <si>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</si>
  <si>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Project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</si>
  <si>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</si>
  <si>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</si>
  <si>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</si>
  <si>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</si>
  <si>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</si>
  <si>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</si>
  <si>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</si>
  <si>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</si>
  <si>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</si>
  <si>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</si>
  <si>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</si>
  <si>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</si>
  <si>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</si>
  <si>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</si>
  <si>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</si>
  <si>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</si>
  <si>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</si>
  <si>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</si>
  <si>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</si>
  <si>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</si>
  <si>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</si>
  <si>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</si>
  <si>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</si>
  <si>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</si>
  <si>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</si>
  <si>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</si>
  <si>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</si>
  <si>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</si>
  <si>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</si>
  <si>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</si>
  <si>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</si>
  <si>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</si>
  <si>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</si>
  <si>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</si>
  <si>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</si>
  <si>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</si>
  <si>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</si>
  <si>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</si>
  <si>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</si>
  <si>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</si>
  <si>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</si>
  <si>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</si>
  <si>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</si>
  <si>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</si>
  <si>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</si>
  <si>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</si>
  <si>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</si>
  <si>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</si>
  <si>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</si>
  <si>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</si>
  <si>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</si>
  <si>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</si>
  <si>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</si>
  <si>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</si>
  <si>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</si>
  <si>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</si>
  <si>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</si>
  <si>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</si>
  <si>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</si>
  <si>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</si>
  <si>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</si>
  <si>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</si>
  <si>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</si>
  <si>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</si>
  <si>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</si>
  <si>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</si>
  <si>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</si>
  <si>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</si>
  <si>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</si>
  <si>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</si>
  <si>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</si>
  <si>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</si>
  <si>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</si>
  <si>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</si>
  <si>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</si>
  <si>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</si>
  <si>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</si>
  <si>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</si>
  <si>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</si>
  <si>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</si>
  <si>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</si>
  <si>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</si>
  <si>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</si>
  <si>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</si>
  <si>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</si>
  <si>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</si>
  <si>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</si>
  <si>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</si>
  <si>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</si>
  <si>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</si>
  <si>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</si>
  <si>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</si>
  <si>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</si>
  <si>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</si>
  <si>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</si>
  <si>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</si>
  <si>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</si>
  <si>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</si>
  <si>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</si>
  <si>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</si>
  <si>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</si>
  <si>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</si>
  <si>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</si>
  <si>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</si>
  <si>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</si>
  <si>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</si>
  <si>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</si>
  <si>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</si>
  <si>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</si>
  <si>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</si>
  <si>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</si>
  <si>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</si>
  <si>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</si>
  <si>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</si>
  <si>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</si>
  <si>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</si>
  <si>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</si>
  <si>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</si>
  <si>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</si>
  <si>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</si>
  <si>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</si>
  <si>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</si>
  <si>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</si>
  <si>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</si>
  <si>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</si>
  <si>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</si>
  <si>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</si>
  <si>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</si>
  <si>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</si>
  <si>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</si>
  <si>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</si>
  <si>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</si>
  <si>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</si>
  <si>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</si>
  <si>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</si>
  <si>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</si>
  <si>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</si>
  <si>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</si>
  <si>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</si>
  <si>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</si>
  <si>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</si>
  <si>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</si>
  <si>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</si>
  <si>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</si>
  <si>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</si>
  <si>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</si>
  <si>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NREL Annual Technology Baseline 2024</t>
  </si>
  <si>
    <t xml:space="preserve">https://atb.nrel.gov/electricity/2024/utility-scale_pv</t>
  </si>
  <si>
    <t xml:space="preserve">U.S. National Renewable Energy Laboratory; frozen curated observation as of case date</t>
  </si>
  <si>
    <t xml:space="preserve">Frozen source snapshot</t>
  </si>
  <si>
    <t xml:space="preserve">repo://20_Project_Finance/sources/snapshots/project-nrel-solar-2024.json</t>
  </si>
  <si>
    <t xml:space="preserve">Immutable curated observation package with SHA-256 digest</t>
  </si>
  <si>
    <t xml:space="preserve">Retained modeler assumption from project-reference-contracted.json</t>
  </si>
  <si>
    <t xml:space="preserve">repo://standards/benchmark_cases/project-reference-contracted.json</t>
  </si>
  <si>
    <t xml:space="preserve">Not an external observation; retained for sensitivity and transaction-structure completeness</t>
  </si>
  <si>
    <t xml:space="preserve">Availability assumption calibrated to public benchmark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</si>
  <si>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</si>
  <si>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</si>
  <si>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</si>
  <si>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</si>
  <si>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</si>
  <si>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</si>
  <si>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</si>
  <si>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</si>
  <si>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</si>
  <si>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project-nrel-solar-2024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</si>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</sst>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900</v>
      </c>
      <c r="D5" s="18" t="n">
        <v>880</v>
      </c>
      <c r="E5" s="19" t="n">
        <f aca="false">IF(Cover!$C$9="Downside",D5,C5)</f>
        <v>900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8" t="n">
        <v>80</v>
      </c>
      <c r="D6" s="18" t="n">
        <v>95</v>
      </c>
      <c r="E6" s="19" t="n">
        <f aca="false">IF(Cover!$C$9="Downside",D6,C6)</f>
        <v>80</v>
      </c>
      <c r="F6" s="1" t="s">
        <v>128</v>
      </c>
    </row>
    <row r="7" customFormat="false" ht="15" hidden="false" customHeight="true" outlineLevel="0" collapsed="false">
      <c r="B7" s="1" t="s">
        <v>130</v>
      </c>
      <c r="C7" s="20" t="n">
        <v>0.08</v>
      </c>
      <c r="D7" s="20" t="n">
        <v>0.12</v>
      </c>
      <c r="E7" s="21" t="n">
        <f aca="false">IF(Cover!$C$9="Downside",D7,C7)</f>
        <v>0.08</v>
      </c>
      <c r="F7" s="1" t="s">
        <v>131</v>
      </c>
    </row>
    <row r="8" customFormat="false" ht="15" hidden="false" customHeight="true" outlineLevel="0" collapsed="false">
      <c r="B8" s="1" t="s">
        <v>132</v>
      </c>
      <c r="C8" s="20" t="n">
        <v>0.7</v>
      </c>
      <c r="D8" s="20" t="n">
        <v>0.65</v>
      </c>
      <c r="E8" s="21" t="n">
        <f aca="false">IF(Cover!$C$9="Downside",D8,C8)</f>
        <v>0.7</v>
      </c>
      <c r="F8" s="1" t="s">
        <v>131</v>
      </c>
    </row>
    <row r="9" customFormat="false" ht="15" hidden="false" customHeight="true" outlineLevel="0" collapsed="false">
      <c r="B9" s="1" t="s">
        <v>133</v>
      </c>
      <c r="C9" s="22" t="n">
        <v>8</v>
      </c>
      <c r="D9" s="22" t="n">
        <v>10</v>
      </c>
      <c r="E9" s="23" t="n">
        <f aca="false">IF(Cover!$C$9="Downside",D9,C9)</f>
        <v>8</v>
      </c>
      <c r="F9" s="1" t="s">
        <v>134</v>
      </c>
    </row>
    <row r="10" customFormat="false" ht="15" hidden="false" customHeight="true" outlineLevel="0" collapsed="false">
      <c r="B10" s="1" t="s">
        <v>135</v>
      </c>
      <c r="C10" s="24" t="n">
        <v>0.075</v>
      </c>
      <c r="D10" s="24" t="n">
        <v>0.09</v>
      </c>
      <c r="E10" s="25" t="n">
        <f aca="false">IF(Cover!$C$9="Downside",D10,C10)</f>
        <v>0.075</v>
      </c>
      <c r="F10" s="1" t="s">
        <v>131</v>
      </c>
    </row>
    <row r="11" customFormat="false" ht="15" hidden="false" customHeight="true" outlineLevel="0" collapsed="false">
      <c r="B11" s="1" t="s">
        <v>136</v>
      </c>
      <c r="C11" s="17" t="n">
        <v>205</v>
      </c>
      <c r="D11" s="18" t="n">
        <v>150</v>
      </c>
      <c r="E11" s="19" t="n">
        <f aca="false">IF(Cover!$C$9="Downside",D11,C11)</f>
        <v>205</v>
      </c>
      <c r="F11" s="1" t="s">
        <v>128</v>
      </c>
    </row>
    <row r="12" customFormat="false" ht="15" hidden="false" customHeight="true" outlineLevel="0" collapsed="false">
      <c r="B12" s="1" t="s">
        <v>137</v>
      </c>
      <c r="C12" s="20" t="n">
        <v>0.025</v>
      </c>
      <c r="D12" s="20" t="n">
        <v>0</v>
      </c>
      <c r="E12" s="21" t="n">
        <f aca="false">IF(Cover!$C$9="Downside",D12,C12)</f>
        <v>0.025</v>
      </c>
      <c r="F12" s="1" t="s">
        <v>131</v>
      </c>
    </row>
    <row r="13" customFormat="false" ht="15" hidden="false" customHeight="true" outlineLevel="0" collapsed="false">
      <c r="B13" s="1" t="s">
        <v>138</v>
      </c>
      <c r="C13" s="20" t="n">
        <v>0.28</v>
      </c>
      <c r="D13" s="20" t="n">
        <v>0.36</v>
      </c>
      <c r="E13" s="21" t="n">
        <f aca="false">IF(Cover!$C$9="Downside",D13,C13)</f>
        <v>0.28</v>
      </c>
      <c r="F13" s="1" t="s">
        <v>131</v>
      </c>
    </row>
    <row r="14" customFormat="false" ht="15" hidden="false" customHeight="true" outlineLevel="0" collapsed="false">
      <c r="B14" s="1" t="s">
        <v>139</v>
      </c>
      <c r="C14" s="20" t="n">
        <v>0.035</v>
      </c>
      <c r="D14" s="20" t="n">
        <v>0.05</v>
      </c>
      <c r="E14" s="21" t="n">
        <f aca="false">IF(Cover!$C$9="Downside",D14,C14)</f>
        <v>0.035</v>
      </c>
      <c r="F14" s="1" t="s">
        <v>131</v>
      </c>
    </row>
    <row r="15" customFormat="false" ht="15" hidden="false" customHeight="true" outlineLevel="0" collapsed="false">
      <c r="B15" s="1" t="s">
        <v>140</v>
      </c>
      <c r="C15" s="20" t="n">
        <v>0.15</v>
      </c>
      <c r="D15" s="20" t="n">
        <v>0.1</v>
      </c>
      <c r="E15" s="21" t="n">
        <f aca="false">IF(Cover!$C$9="Downside",D15,C15)</f>
        <v>0.15</v>
      </c>
      <c r="F15" s="1" t="s">
        <v>131</v>
      </c>
    </row>
    <row r="16" customFormat="false" ht="15" hidden="false" customHeight="true" outlineLevel="0" collapsed="false">
      <c r="B16" s="1" t="s">
        <v>141</v>
      </c>
      <c r="C16" s="26" t="n">
        <v>1.4</v>
      </c>
      <c r="D16" s="27" t="n">
        <v>1.45</v>
      </c>
      <c r="E16" s="28" t="n">
        <f aca="false">IF(Cover!$C$9="Downside",D16,C16)</f>
        <v>1.4</v>
      </c>
      <c r="F16" s="1" t="s">
        <v>142</v>
      </c>
    </row>
    <row r="17" customFormat="false" ht="15" hidden="false" customHeight="true" outlineLevel="0" collapsed="false">
      <c r="B17" s="1" t="s">
        <v>143</v>
      </c>
      <c r="C17" s="27" t="n">
        <v>1.2</v>
      </c>
      <c r="D17" s="27" t="n">
        <v>1.2</v>
      </c>
      <c r="E17" s="28" t="n">
        <f aca="false">IF(Cover!$C$9="Downside",D17,C17)</f>
        <v>1.2</v>
      </c>
      <c r="F17" s="1" t="s">
        <v>142</v>
      </c>
    </row>
    <row r="18" customFormat="false" ht="15" hidden="false" customHeight="true" outlineLevel="0" collapsed="false">
      <c r="B18" s="1" t="s">
        <v>144</v>
      </c>
      <c r="C18" s="24" t="n">
        <v>0.065</v>
      </c>
      <c r="D18" s="24" t="n">
        <v>0.08</v>
      </c>
      <c r="E18" s="25" t="n">
        <f aca="false">IF(Cover!$C$9="Downside",D18,C18)</f>
        <v>0.065</v>
      </c>
      <c r="F18" s="1" t="s">
        <v>131</v>
      </c>
    </row>
    <row r="19" customFormat="false" ht="15" hidden="false" customHeight="true" outlineLevel="0" collapsed="false">
      <c r="B19" s="1" t="s">
        <v>145</v>
      </c>
      <c r="C19" s="22" t="n">
        <v>10</v>
      </c>
      <c r="D19" s="22" t="n">
        <v>10</v>
      </c>
      <c r="E19" s="23" t="n">
        <f aca="false">IF(Cover!$C$9="Downside",D19,C19)</f>
        <v>10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9" t="n">
        <v>6</v>
      </c>
      <c r="D20" s="29" t="n">
        <v>9</v>
      </c>
      <c r="E20" s="30" t="n">
        <f aca="false">IF(Cover!$C$9="Downside",D20,C20)</f>
        <v>6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4" t="n">
        <v>0.07</v>
      </c>
      <c r="D21" s="24" t="n">
        <v>0.085</v>
      </c>
      <c r="E21" s="25" t="n">
        <f aca="false">IF(Cover!$C$9="Downside",D21,C21)</f>
        <v>0.07</v>
      </c>
      <c r="F21" s="1" t="s">
        <v>131</v>
      </c>
    </row>
    <row r="22" customFormat="false" ht="15" hidden="false" customHeight="true" outlineLevel="0" collapsed="false">
      <c r="B22" s="1" t="s">
        <v>150</v>
      </c>
      <c r="C22" s="18" t="n">
        <v>2</v>
      </c>
      <c r="D22" s="18" t="n">
        <v>4</v>
      </c>
      <c r="E22" s="19" t="n">
        <f aca="false">IF(Cover!$C$9="Downside",D22,C22)</f>
        <v>2</v>
      </c>
      <c r="F22" s="1" t="s">
        <v>128</v>
      </c>
    </row>
    <row r="23" customFormat="false" ht="15" hidden="false" customHeight="true" outlineLevel="0" collapsed="false">
      <c r="B23" s="1" t="s">
        <v>151</v>
      </c>
      <c r="C23" s="31" t="n">
        <v>0.98</v>
      </c>
      <c r="D23" s="20" t="n">
        <v>0.85</v>
      </c>
      <c r="E23" s="21" t="n">
        <f aca="false">IF(Cover!$C$9="Downside",D23,C23)</f>
        <v>0.98</v>
      </c>
      <c r="F23" s="1" t="s">
        <v>131</v>
      </c>
    </row>
    <row r="24" customFormat="false" ht="15" hidden="false" customHeight="true" outlineLevel="0" collapsed="false">
      <c r="B24" s="1" t="s">
        <v>152</v>
      </c>
      <c r="C24" s="20" t="n">
        <v>0.02</v>
      </c>
      <c r="D24" s="20" t="n">
        <v>0.03</v>
      </c>
      <c r="E24" s="21" t="n">
        <f aca="false">IF(Cover!$C$9="Downside",D24,C24)</f>
        <v>0.02</v>
      </c>
      <c r="F24" s="1" t="s">
        <v>131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128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164</v>
      </c>
    </row>
    <row r="5" customFormat="false" ht="15" hidden="false" customHeight="true" outlineLevel="0" collapsed="false">
      <c r="B5" s="1" t="s">
        <v>165</v>
      </c>
      <c r="C5" s="20" t="n">
        <v>0.05</v>
      </c>
      <c r="D5" s="20" t="n">
        <v>0.1</v>
      </c>
      <c r="E5" s="20" t="n">
        <v>0.15</v>
      </c>
      <c r="F5" s="20" t="n">
        <v>0.18</v>
      </c>
      <c r="G5" s="20" t="n">
        <v>0.18</v>
      </c>
      <c r="H5" s="20" t="n">
        <v>0.14</v>
      </c>
      <c r="I5" s="20" t="n">
        <v>0.12</v>
      </c>
      <c r="J5" s="20" t="n">
        <v>0.08</v>
      </c>
      <c r="K5" s="20" t="n">
        <v>0</v>
      </c>
      <c r="L5" s="20" t="n">
        <v>0</v>
      </c>
      <c r="M5" s="32" t="n">
        <f aca="false">SUM(C5:L5)</f>
        <v>1</v>
      </c>
    </row>
    <row r="6" customFormat="false" ht="15" hidden="false" customHeight="true" outlineLevel="0" collapsed="false">
      <c r="B6" s="1" t="s">
        <v>166</v>
      </c>
      <c r="C6" s="33" t="n">
        <f aca="false">IF(1&lt;=Assumptions!$E$9,Assumptions!$E$5*C$5,0)</f>
        <v>45</v>
      </c>
      <c r="D6" s="33" t="n">
        <f aca="false">IF(2&lt;=Assumptions!$E$9,Assumptions!$E$5*D$5,0)</f>
        <v>90</v>
      </c>
      <c r="E6" s="33" t="n">
        <f aca="false">IF(3&lt;=Assumptions!$E$9,Assumptions!$E$5*E$5,0)</f>
        <v>135</v>
      </c>
      <c r="F6" s="33" t="n">
        <f aca="false">IF(4&lt;=Assumptions!$E$9,Assumptions!$E$5*F$5,0)</f>
        <v>162</v>
      </c>
      <c r="G6" s="33" t="n">
        <f aca="false">IF(5&lt;=Assumptions!$E$9,Assumptions!$E$5*G$5,0)</f>
        <v>162</v>
      </c>
      <c r="H6" s="33" t="n">
        <f aca="false">IF(6&lt;=Assumptions!$E$9,Assumptions!$E$5*H$5,0)</f>
        <v>126</v>
      </c>
      <c r="I6" s="33" t="n">
        <f aca="false">IF(7&lt;=Assumptions!$E$9,Assumptions!$E$5*I$5,0)</f>
        <v>108</v>
      </c>
      <c r="J6" s="33" t="n">
        <f aca="false">IF(8&lt;=Assumptions!$E$9,Assumptions!$E$5*J$5,0)</f>
        <v>72</v>
      </c>
      <c r="K6" s="33" t="n">
        <f aca="false">IF(9&lt;=Assumptions!$E$9,Assumptions!$E$5*K$5,0)</f>
        <v>0</v>
      </c>
      <c r="L6" s="33" t="n">
        <f aca="false">IF(10&lt;=Assumptions!$E$9,Assumptions!$E$5*L$5,0)</f>
        <v>0</v>
      </c>
      <c r="M6" s="33" t="n">
        <f aca="false">SUM(C6:L6)</f>
        <v>900</v>
      </c>
    </row>
    <row r="7" customFormat="false" ht="15" hidden="false" customHeight="true" outlineLevel="0" collapsed="false">
      <c r="B7" s="1" t="s">
        <v>167</v>
      </c>
      <c r="C7" s="33" t="n">
        <f aca="false">IF(1&lt;=Assumptions!$E$9,Assumptions!$E$6/Assumptions!$E$9,0)</f>
        <v>10</v>
      </c>
      <c r="D7" s="33" t="n">
        <f aca="false">IF(2&lt;=Assumptions!$E$9,Assumptions!$E$6/Assumptions!$E$9,0)</f>
        <v>10</v>
      </c>
      <c r="E7" s="33" t="n">
        <f aca="false">IF(3&lt;=Assumptions!$E$9,Assumptions!$E$6/Assumptions!$E$9,0)</f>
        <v>10</v>
      </c>
      <c r="F7" s="33" t="n">
        <f aca="false">IF(4&lt;=Assumptions!$E$9,Assumptions!$E$6/Assumptions!$E$9,0)</f>
        <v>10</v>
      </c>
      <c r="G7" s="33" t="n">
        <f aca="false">IF(5&lt;=Assumptions!$E$9,Assumptions!$E$6/Assumptions!$E$9,0)</f>
        <v>10</v>
      </c>
      <c r="H7" s="33" t="n">
        <f aca="false">IF(6&lt;=Assumptions!$E$9,Assumptions!$E$6/Assumptions!$E$9,0)</f>
        <v>10</v>
      </c>
      <c r="I7" s="33" t="n">
        <f aca="false">IF(7&lt;=Assumptions!$E$9,Assumptions!$E$6/Assumptions!$E$9,0)</f>
        <v>10</v>
      </c>
      <c r="J7" s="33" t="n">
        <f aca="false">IF(8&lt;=Assumptions!$E$9,Assumptions!$E$6/Assumptions!$E$9,0)</f>
        <v>10</v>
      </c>
      <c r="K7" s="33" t="n">
        <f aca="false">IF(9&lt;=Assumptions!$E$9,Assumptions!$E$6/Assumptions!$E$9,0)</f>
        <v>0</v>
      </c>
      <c r="L7" s="33" t="n">
        <f aca="false">IF(10&lt;=Assumptions!$E$9,Assumptions!$E$6/Assumptions!$E$9,0)</f>
        <v>0</v>
      </c>
      <c r="M7" s="33" t="n">
        <f aca="false">SUM(C7:L7)</f>
        <v>80</v>
      </c>
    </row>
    <row r="8" customFormat="false" ht="15" hidden="false" customHeight="true" outlineLevel="0" collapsed="false">
      <c r="B8" s="1" t="s">
        <v>168</v>
      </c>
      <c r="C8" s="33" t="n">
        <f aca="false">C6*Assumptions!$E$7</f>
        <v>3.6</v>
      </c>
      <c r="D8" s="33" t="n">
        <f aca="false">D6*Assumptions!$E$7</f>
        <v>7.2</v>
      </c>
      <c r="E8" s="33" t="n">
        <f aca="false">E6*Assumptions!$E$7</f>
        <v>10.8</v>
      </c>
      <c r="F8" s="33" t="n">
        <f aca="false">F6*Assumptions!$E$7</f>
        <v>12.96</v>
      </c>
      <c r="G8" s="33" t="n">
        <f aca="false">G6*Assumptions!$E$7</f>
        <v>12.96</v>
      </c>
      <c r="H8" s="33" t="n">
        <f aca="false">H6*Assumptions!$E$7</f>
        <v>10.08</v>
      </c>
      <c r="I8" s="33" t="n">
        <f aca="false">I6*Assumptions!$E$7</f>
        <v>8.64</v>
      </c>
      <c r="J8" s="33" t="n">
        <f aca="false">J6*Assumptions!$E$7</f>
        <v>5.76</v>
      </c>
      <c r="K8" s="33" t="n">
        <f aca="false">K6*Assumptions!$E$7</f>
        <v>0</v>
      </c>
      <c r="L8" s="33" t="n">
        <f aca="false">L6*Assumptions!$E$7</f>
        <v>0</v>
      </c>
      <c r="M8" s="33" t="n">
        <f aca="false">SUM(C8:L8)</f>
        <v>72</v>
      </c>
    </row>
    <row r="9" customFormat="false" ht="15" hidden="false" customHeight="true" outlineLevel="0" collapsed="false">
      <c r="B9" s="34" t="s">
        <v>169</v>
      </c>
      <c r="C9" s="35" t="n">
        <f aca="false">SUM(C6:C8)</f>
        <v>58.6</v>
      </c>
      <c r="D9" s="35" t="n">
        <f aca="false">SUM(D6:D8)</f>
        <v>107.2</v>
      </c>
      <c r="E9" s="35" t="n">
        <f aca="false">SUM(E6:E8)</f>
        <v>155.8</v>
      </c>
      <c r="F9" s="35" t="n">
        <f aca="false">SUM(F6:F8)</f>
        <v>184.96</v>
      </c>
      <c r="G9" s="35" t="n">
        <f aca="false">SUM(G6:G8)</f>
        <v>184.96</v>
      </c>
      <c r="H9" s="35" t="n">
        <f aca="false">SUM(H6:H8)</f>
        <v>146.08</v>
      </c>
      <c r="I9" s="35" t="n">
        <f aca="false">SUM(I6:I8)</f>
        <v>126.64</v>
      </c>
      <c r="J9" s="35" t="n">
        <f aca="false">SUM(J6:J8)</f>
        <v>87.76</v>
      </c>
      <c r="K9" s="35" t="n">
        <f aca="false">SUM(K6:K8)</f>
        <v>0</v>
      </c>
      <c r="L9" s="35" t="n">
        <f aca="false">SUM(L6:L8)</f>
        <v>0</v>
      </c>
      <c r="M9" s="35" t="n">
        <f aca="false">SUM(C9:L9)</f>
        <v>1052</v>
      </c>
    </row>
    <row r="10" customFormat="false" ht="15" hidden="false" customHeight="true" outlineLevel="0" collapsed="false">
      <c r="B10" s="1" t="s">
        <v>170</v>
      </c>
      <c r="C10" s="33" t="n">
        <f aca="false">C9*(1-Assumptions!$E$8)</f>
        <v>17.58</v>
      </c>
      <c r="D10" s="33" t="n">
        <f aca="false">D9*(1-Assumptions!$E$8)</f>
        <v>32.16</v>
      </c>
      <c r="E10" s="33" t="n">
        <f aca="false">E9*(1-Assumptions!$E$8)</f>
        <v>46.74</v>
      </c>
      <c r="F10" s="33" t="n">
        <f aca="false">F9*(1-Assumptions!$E$8)</f>
        <v>55.488</v>
      </c>
      <c r="G10" s="33" t="n">
        <f aca="false">G9*(1-Assumptions!$E$8)</f>
        <v>55.488</v>
      </c>
      <c r="H10" s="33" t="n">
        <f aca="false">H9*(1-Assumptions!$E$8)</f>
        <v>43.824</v>
      </c>
      <c r="I10" s="33" t="n">
        <f aca="false">I9*(1-Assumptions!$E$8)</f>
        <v>37.992</v>
      </c>
      <c r="J10" s="33" t="n">
        <f aca="false">J9*(1-Assumptions!$E$8)</f>
        <v>26.328</v>
      </c>
      <c r="K10" s="33" t="n">
        <f aca="false">K9*(1-Assumptions!$E$8)</f>
        <v>0</v>
      </c>
      <c r="L10" s="33" t="n">
        <f aca="false">L9*(1-Assumptions!$E$8)</f>
        <v>0</v>
      </c>
      <c r="M10" s="33" t="n">
        <f aca="false">SUM(C10:L10)</f>
        <v>315.6</v>
      </c>
    </row>
    <row r="11" customFormat="false" ht="15" hidden="false" customHeight="true" outlineLevel="0" collapsed="false">
      <c r="B11" s="1" t="s">
        <v>171</v>
      </c>
      <c r="C11" s="33" t="n">
        <f aca="false">C9*Assumptions!$E$8</f>
        <v>41.02</v>
      </c>
      <c r="D11" s="33" t="n">
        <f aca="false">D9*Assumptions!$E$8</f>
        <v>75.04</v>
      </c>
      <c r="E11" s="33" t="n">
        <f aca="false">E9*Assumptions!$E$8</f>
        <v>109.06</v>
      </c>
      <c r="F11" s="33" t="n">
        <f aca="false">F9*Assumptions!$E$8</f>
        <v>129.472</v>
      </c>
      <c r="G11" s="33" t="n">
        <f aca="false">G9*Assumptions!$E$8</f>
        <v>129.472</v>
      </c>
      <c r="H11" s="33" t="n">
        <f aca="false">H9*Assumptions!$E$8</f>
        <v>102.256</v>
      </c>
      <c r="I11" s="33" t="n">
        <f aca="false">I9*Assumptions!$E$8</f>
        <v>88.648</v>
      </c>
      <c r="J11" s="33" t="n">
        <f aca="false">J9*Assumptions!$E$8</f>
        <v>61.432</v>
      </c>
      <c r="K11" s="33" t="n">
        <f aca="false">K9*Assumptions!$E$8</f>
        <v>0</v>
      </c>
      <c r="L11" s="33" t="n">
        <f aca="false">L9*Assumptions!$E$8</f>
        <v>0</v>
      </c>
      <c r="M11" s="33" t="n">
        <f aca="false">SUM(C11:L11)</f>
        <v>736.4</v>
      </c>
    </row>
    <row r="12" customFormat="false" ht="15" hidden="false" customHeight="true" outlineLevel="0" collapsed="false">
      <c r="B12" s="1" t="s">
        <v>172</v>
      </c>
      <c r="C12" s="33" t="n">
        <v>0</v>
      </c>
      <c r="D12" s="33" t="n">
        <f aca="false">C14</f>
        <v>41.4045625</v>
      </c>
      <c r="E12" s="33" t="n">
        <f aca="false">D14</f>
        <v>117.924398046875</v>
      </c>
      <c r="F12" s="33" t="n">
        <f aca="false">E14</f>
        <v>230.217918010254</v>
      </c>
      <c r="G12" s="33" t="n">
        <f aca="false">F14</f>
        <v>365.220303972946</v>
      </c>
      <c r="H12" s="33" t="n">
        <f aca="false">G14</f>
        <v>502.753984672439</v>
      </c>
      <c r="I12" s="33" t="n">
        <f aca="false">H14</f>
        <v>615.395271885047</v>
      </c>
      <c r="J12" s="33" t="n">
        <f aca="false">I14</f>
        <v>716.413008232892</v>
      </c>
      <c r="K12" s="33" t="n">
        <f aca="false">J14</f>
        <v>791.853677137259</v>
      </c>
      <c r="L12" s="33" t="n">
        <f aca="false">K14</f>
        <v>806.700933583582</v>
      </c>
      <c r="M12" s="33" t="n">
        <f aca="false">SUM(C12:L12)</f>
        <v>4187.88405804129</v>
      </c>
    </row>
    <row r="13" customFormat="false" ht="15" hidden="false" customHeight="true" outlineLevel="0" collapsed="false">
      <c r="B13" s="1" t="s">
        <v>173</v>
      </c>
      <c r="C13" s="33" t="n">
        <f aca="false">(C12+0.5*C11)*Assumptions!$E$10/4</f>
        <v>0.3845625</v>
      </c>
      <c r="D13" s="33" t="n">
        <f aca="false">(D12+0.5*D11)*Assumptions!$E$10/4</f>
        <v>1.479835546875</v>
      </c>
      <c r="E13" s="33" t="n">
        <f aca="false">(E12+0.5*E11)*Assumptions!$E$10/4</f>
        <v>3.23351996337891</v>
      </c>
      <c r="F13" s="33" t="n">
        <f aca="false">(F12+0.5*F11)*Assumptions!$E$10/4</f>
        <v>5.53038596269226</v>
      </c>
      <c r="G13" s="33" t="n">
        <f aca="false">(G12+0.5*G11)*Assumptions!$E$10/4</f>
        <v>8.06168069949274</v>
      </c>
      <c r="H13" s="33" t="n">
        <f aca="false">(H12+0.5*H11)*Assumptions!$E$10/4</f>
        <v>10.3852872126082</v>
      </c>
      <c r="I13" s="33" t="n">
        <f aca="false">(I12+0.5*I11)*Assumptions!$E$10/4</f>
        <v>12.3697363478446</v>
      </c>
      <c r="J13" s="33" t="n">
        <f aca="false">(J12+0.5*J11)*Assumptions!$E$10/4</f>
        <v>14.0086689043667</v>
      </c>
      <c r="K13" s="33" t="n">
        <f aca="false">(K12+0.5*K11)*Assumptions!$E$10/4</f>
        <v>14.8472564463236</v>
      </c>
      <c r="L13" s="33" t="n">
        <f aca="false">(L12+0.5*L11)*Assumptions!$E$10/4</f>
        <v>15.1256425046922</v>
      </c>
      <c r="M13" s="33" t="n">
        <f aca="false">SUM(C13:L13)</f>
        <v>85.4265760882743</v>
      </c>
    </row>
    <row r="14" customFormat="false" ht="15" hidden="false" customHeight="true" outlineLevel="0" collapsed="false">
      <c r="B14" s="34" t="s">
        <v>174</v>
      </c>
      <c r="C14" s="35" t="n">
        <f aca="false">C12+C11+C13</f>
        <v>41.4045625</v>
      </c>
      <c r="D14" s="35" t="n">
        <f aca="false">D12+D11+D13</f>
        <v>117.924398046875</v>
      </c>
      <c r="E14" s="35" t="n">
        <f aca="false">E12+E11+E13</f>
        <v>230.217918010254</v>
      </c>
      <c r="F14" s="35" t="n">
        <f aca="false">F12+F11+F13</f>
        <v>365.220303972946</v>
      </c>
      <c r="G14" s="35" t="n">
        <f aca="false">G12+G11+G13</f>
        <v>502.753984672439</v>
      </c>
      <c r="H14" s="35" t="n">
        <f aca="false">H12+H11+H13</f>
        <v>615.395271885047</v>
      </c>
      <c r="I14" s="35" t="n">
        <f aca="false">I12+I11+I13</f>
        <v>716.413008232892</v>
      </c>
      <c r="J14" s="35" t="n">
        <f aca="false">J12+J11+J13</f>
        <v>791.853677137259</v>
      </c>
      <c r="K14" s="35" t="n">
        <f aca="false">K12+K11+K13</f>
        <v>806.700933583582</v>
      </c>
      <c r="L14" s="35" t="n">
        <f aca="false">L12+L11+L13</f>
        <v>821.826576088274</v>
      </c>
      <c r="M14" s="35" t="n">
        <f aca="false">L14</f>
        <v>821.826576088274</v>
      </c>
    </row>
    <row r="15" customFormat="false" ht="15" hidden="false" customHeight="true" outlineLevel="0" collapsed="false">
      <c r="B15" s="34" t="s">
        <v>175</v>
      </c>
      <c r="C15" s="35" t="n">
        <f aca="false">C9</f>
        <v>58.6</v>
      </c>
      <c r="D15" s="35" t="n">
        <f aca="false">C15+D9</f>
        <v>165.8</v>
      </c>
      <c r="E15" s="35" t="n">
        <f aca="false">D15+E9</f>
        <v>321.6</v>
      </c>
      <c r="F15" s="35" t="n">
        <f aca="false">E15+F9</f>
        <v>506.56</v>
      </c>
      <c r="G15" s="35" t="n">
        <f aca="false">F15+G9</f>
        <v>691.52</v>
      </c>
      <c r="H15" s="35" t="n">
        <f aca="false">G15+H9</f>
        <v>837.6</v>
      </c>
      <c r="I15" s="35" t="n">
        <f aca="false">H15+I9</f>
        <v>964.24</v>
      </c>
      <c r="J15" s="35" t="n">
        <f aca="false">I15+J9</f>
        <v>1052</v>
      </c>
      <c r="K15" s="35" t="n">
        <f aca="false">J15+K9</f>
        <v>1052</v>
      </c>
      <c r="L15" s="35" t="n">
        <f aca="false">K15+L9</f>
        <v>1052</v>
      </c>
      <c r="M15" s="35" t="n">
        <f aca="false">L15</f>
        <v>1052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177</v>
      </c>
      <c r="C4" s="16" t="s">
        <v>178</v>
      </c>
      <c r="D4" s="16"/>
      <c r="E4" s="16" t="s">
        <v>179</v>
      </c>
      <c r="F4" s="16" t="s">
        <v>178</v>
      </c>
      <c r="G4" s="16"/>
    </row>
    <row r="5" customFormat="false" ht="15" hidden="false" customHeight="true" outlineLevel="0" collapsed="false">
      <c r="B5" s="1" t="s">
        <v>166</v>
      </c>
      <c r="C5" s="33" t="n">
        <f aca="false">Construction!M6</f>
        <v>900</v>
      </c>
      <c r="E5" s="1" t="s">
        <v>180</v>
      </c>
      <c r="F5" s="33" t="n">
        <f aca="false">Construction!M14</f>
        <v>821.826576088274</v>
      </c>
    </row>
    <row r="6" customFormat="false" ht="15" hidden="false" customHeight="true" outlineLevel="0" collapsed="false">
      <c r="B6" s="1" t="s">
        <v>167</v>
      </c>
      <c r="C6" s="33" t="n">
        <f aca="false">Construction!M7</f>
        <v>80</v>
      </c>
      <c r="E6" s="1" t="s">
        <v>181</v>
      </c>
      <c r="F6" s="33" t="n">
        <f aca="false">MAX(0,C10-F5)</f>
        <v>358.148453035714</v>
      </c>
    </row>
    <row r="7" customFormat="false" ht="15" hidden="false" customHeight="true" outlineLevel="0" collapsed="false">
      <c r="B7" s="1" t="s">
        <v>168</v>
      </c>
      <c r="C7" s="33" t="n">
        <f aca="false">Construction!M8</f>
        <v>72</v>
      </c>
      <c r="E7" s="1" t="s">
        <v>182</v>
      </c>
      <c r="F7" s="18" t="n">
        <v>0</v>
      </c>
    </row>
    <row r="8" customFormat="false" ht="15" hidden="false" customHeight="true" outlineLevel="0" collapsed="false">
      <c r="B8" s="1" t="s">
        <v>173</v>
      </c>
      <c r="C8" s="33" t="n">
        <f aca="false">Construction!M13</f>
        <v>85.4265760882743</v>
      </c>
      <c r="E8" s="34" t="s">
        <v>183</v>
      </c>
      <c r="F8" s="35" t="n">
        <f aca="false">SUM(F5:F7)</f>
        <v>1179.97502912399</v>
      </c>
    </row>
    <row r="9" customFormat="false" ht="15" hidden="false" customHeight="true" outlineLevel="0" collapsed="false">
      <c r="B9" s="1" t="s">
        <v>184</v>
      </c>
      <c r="C9" s="33" t="n">
        <f aca="false">DSRA!C7</f>
        <v>42.5484530357143</v>
      </c>
      <c r="E9" s="1" t="s">
        <v>185</v>
      </c>
      <c r="F9" s="33" t="n">
        <f aca="false">F8-C10</f>
        <v>0</v>
      </c>
    </row>
    <row r="10" customFormat="false" ht="15" hidden="false" customHeight="true" outlineLevel="0" collapsed="false">
      <c r="B10" s="34" t="s">
        <v>186</v>
      </c>
      <c r="C10" s="35" t="n">
        <f aca="false">SUM(C5:C9)</f>
        <v>1179.97502912399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198</v>
      </c>
      <c r="C5" s="33" t="n">
        <f aca="false">Assumptions!E11</f>
        <v>205</v>
      </c>
      <c r="D5" s="33" t="n">
        <f aca="false">C5*(1+Assumptions!$E$12+Assumptions!$E$24)</f>
        <v>214.225</v>
      </c>
      <c r="E5" s="33" t="n">
        <f aca="false">D5*(1+Assumptions!$E$12+Assumptions!$E$24)</f>
        <v>223.865125</v>
      </c>
      <c r="F5" s="33" t="n">
        <f aca="false">E5*(1+Assumptions!$E$12+Assumptions!$E$24)</f>
        <v>233.939055625</v>
      </c>
      <c r="G5" s="33" t="n">
        <f aca="false">F5*(1+Assumptions!$E$12+Assumptions!$E$24)</f>
        <v>244.466313128125</v>
      </c>
      <c r="H5" s="33" t="n">
        <f aca="false">G5*(1+Assumptions!$E$12+Assumptions!$E$24)</f>
        <v>255.467297218891</v>
      </c>
      <c r="I5" s="33" t="n">
        <f aca="false">H5*(1+Assumptions!$E$12+Assumptions!$E$24)</f>
        <v>266.963325593741</v>
      </c>
      <c r="J5" s="33" t="n">
        <f aca="false">I5*(1+Assumptions!$E$12+Assumptions!$E$24)</f>
        <v>278.976675245459</v>
      </c>
      <c r="K5" s="33" t="n">
        <f aca="false">J5*(1+Assumptions!$E$12+Assumptions!$E$24)</f>
        <v>291.530625631505</v>
      </c>
      <c r="L5" s="33" t="n">
        <f aca="false">K5*(1+Assumptions!$E$12+Assumptions!$E$24)</f>
        <v>304.649503784922</v>
      </c>
    </row>
    <row r="6" customFormat="false" ht="15" hidden="false" customHeight="true" outlineLevel="0" collapsed="false">
      <c r="B6" s="1" t="s">
        <v>199</v>
      </c>
      <c r="C6" s="33" t="n">
        <f aca="false">C5*Assumptions!$E$23</f>
        <v>200.9</v>
      </c>
      <c r="D6" s="33" t="n">
        <f aca="false">D5*Assumptions!$E$23</f>
        <v>209.9405</v>
      </c>
      <c r="E6" s="33" t="n">
        <f aca="false">E5*Assumptions!$E$23</f>
        <v>219.3878225</v>
      </c>
      <c r="F6" s="33" t="n">
        <f aca="false">F5*Assumptions!$E$23</f>
        <v>229.2602745125</v>
      </c>
      <c r="G6" s="33" t="n">
        <f aca="false">G5*Assumptions!$E$23</f>
        <v>239.576986865562</v>
      </c>
      <c r="H6" s="33" t="n">
        <f aca="false">H5*Assumptions!$E$23</f>
        <v>250.357951274513</v>
      </c>
      <c r="I6" s="33" t="n">
        <f aca="false">I5*Assumptions!$E$23</f>
        <v>261.624059081866</v>
      </c>
      <c r="J6" s="33" t="n">
        <f aca="false">J5*Assumptions!$E$23</f>
        <v>273.39714174055</v>
      </c>
      <c r="K6" s="33" t="n">
        <f aca="false">K5*Assumptions!$E$23</f>
        <v>285.700013118875</v>
      </c>
      <c r="L6" s="33" t="n">
        <f aca="false">L5*Assumptions!$E$23</f>
        <v>298.556513709224</v>
      </c>
    </row>
    <row r="7" customFormat="false" ht="15" hidden="false" customHeight="true" outlineLevel="0" collapsed="false">
      <c r="B7" s="1" t="s">
        <v>200</v>
      </c>
      <c r="C7" s="33" t="n">
        <f aca="false">C6*Assumptions!$E$13</f>
        <v>56.252</v>
      </c>
      <c r="D7" s="33" t="n">
        <f aca="false">D6*Assumptions!$E$13</f>
        <v>58.78334</v>
      </c>
      <c r="E7" s="33" t="n">
        <f aca="false">E6*Assumptions!$E$13</f>
        <v>61.4285903</v>
      </c>
      <c r="F7" s="33" t="n">
        <f aca="false">F6*Assumptions!$E$13</f>
        <v>64.1928768635</v>
      </c>
      <c r="G7" s="33" t="n">
        <f aca="false">G6*Assumptions!$E$13</f>
        <v>67.0815563223575</v>
      </c>
      <c r="H7" s="33" t="n">
        <f aca="false">H6*Assumptions!$E$13</f>
        <v>70.1002263568636</v>
      </c>
      <c r="I7" s="33" t="n">
        <f aca="false">I6*Assumptions!$E$13</f>
        <v>73.2547365429224</v>
      </c>
      <c r="J7" s="33" t="n">
        <f aca="false">J6*Assumptions!$E$13</f>
        <v>76.5511996873539</v>
      </c>
      <c r="K7" s="33" t="n">
        <f aca="false">K6*Assumptions!$E$13</f>
        <v>79.9960036732849</v>
      </c>
      <c r="L7" s="33" t="n">
        <f aca="false">L6*Assumptions!$E$13</f>
        <v>83.5958238385827</v>
      </c>
    </row>
    <row r="8" customFormat="false" ht="15" hidden="false" customHeight="true" outlineLevel="0" collapsed="false">
      <c r="B8" s="34" t="s">
        <v>201</v>
      </c>
      <c r="C8" s="35" t="n">
        <f aca="false">C6-C7</f>
        <v>144.648</v>
      </c>
      <c r="D8" s="35" t="n">
        <f aca="false">D6-D7</f>
        <v>151.15716</v>
      </c>
      <c r="E8" s="35" t="n">
        <f aca="false">E6-E7</f>
        <v>157.9592322</v>
      </c>
      <c r="F8" s="35" t="n">
        <f aca="false">F6-F7</f>
        <v>165.067397649</v>
      </c>
      <c r="G8" s="35" t="n">
        <f aca="false">G6-G7</f>
        <v>172.495430543205</v>
      </c>
      <c r="H8" s="35" t="n">
        <f aca="false">H6-H7</f>
        <v>180.257724917649</v>
      </c>
      <c r="I8" s="35" t="n">
        <f aca="false">I6-I7</f>
        <v>188.369322538943</v>
      </c>
      <c r="J8" s="35" t="n">
        <f aca="false">J6-J7</f>
        <v>196.845942053196</v>
      </c>
      <c r="K8" s="35" t="n">
        <f aca="false">K6-K7</f>
        <v>205.70400944559</v>
      </c>
      <c r="L8" s="35" t="n">
        <f aca="false">L6-L7</f>
        <v>214.960689870641</v>
      </c>
    </row>
    <row r="9" customFormat="false" ht="15" hidden="false" customHeight="true" outlineLevel="0" collapsed="false">
      <c r="B9" s="1" t="s">
        <v>202</v>
      </c>
      <c r="C9" s="33" t="n">
        <f aca="false">MAX(0,C8*Assumptions!$E$15)</f>
        <v>21.6972</v>
      </c>
      <c r="D9" s="33" t="n">
        <f aca="false">MAX(0,D8*Assumptions!$E$15)</f>
        <v>22.673574</v>
      </c>
      <c r="E9" s="33" t="n">
        <f aca="false">MAX(0,E8*Assumptions!$E$15)</f>
        <v>23.69388483</v>
      </c>
      <c r="F9" s="33" t="n">
        <f aca="false">MAX(0,F8*Assumptions!$E$15)</f>
        <v>24.76010964735</v>
      </c>
      <c r="G9" s="33" t="n">
        <f aca="false">MAX(0,G8*Assumptions!$E$15)</f>
        <v>25.8743145814807</v>
      </c>
      <c r="H9" s="33" t="n">
        <f aca="false">MAX(0,H8*Assumptions!$E$15)</f>
        <v>27.0386587376474</v>
      </c>
      <c r="I9" s="33" t="n">
        <f aca="false">MAX(0,I8*Assumptions!$E$15)</f>
        <v>28.2553983808415</v>
      </c>
      <c r="J9" s="33" t="n">
        <f aca="false">MAX(0,J8*Assumptions!$E$15)</f>
        <v>29.5268913079794</v>
      </c>
      <c r="K9" s="33" t="n">
        <f aca="false">MAX(0,K8*Assumptions!$E$15)</f>
        <v>30.8556014168384</v>
      </c>
      <c r="L9" s="33" t="n">
        <f aca="false">MAX(0,L8*Assumptions!$E$15)</f>
        <v>32.2441034805962</v>
      </c>
    </row>
    <row r="10" customFormat="false" ht="15" hidden="false" customHeight="true" outlineLevel="0" collapsed="false">
      <c r="B10" s="1" t="s">
        <v>203</v>
      </c>
      <c r="C10" s="33" t="n">
        <f aca="false">C6*Assumptions!$E$14</f>
        <v>7.0315</v>
      </c>
      <c r="D10" s="33" t="n">
        <f aca="false">D6*Assumptions!$E$14</f>
        <v>7.3479175</v>
      </c>
      <c r="E10" s="33" t="n">
        <f aca="false">E6*Assumptions!$E$14</f>
        <v>7.6785737875</v>
      </c>
      <c r="F10" s="33" t="n">
        <f aca="false">F6*Assumptions!$E$14</f>
        <v>8.0241096079375</v>
      </c>
      <c r="G10" s="33" t="n">
        <f aca="false">G6*Assumptions!$E$14</f>
        <v>8.38519454029469</v>
      </c>
      <c r="H10" s="33" t="n">
        <f aca="false">H6*Assumptions!$E$14</f>
        <v>8.76252829460795</v>
      </c>
      <c r="I10" s="33" t="n">
        <f aca="false">I6*Assumptions!$E$14</f>
        <v>9.1568420678653</v>
      </c>
      <c r="J10" s="33" t="n">
        <f aca="false">J6*Assumptions!$E$14</f>
        <v>9.56889996091924</v>
      </c>
      <c r="K10" s="33" t="n">
        <f aca="false">K6*Assumptions!$E$14</f>
        <v>9.99950045916061</v>
      </c>
      <c r="L10" s="33" t="n">
        <f aca="false">L6*Assumptions!$E$14</f>
        <v>10.4494779798228</v>
      </c>
    </row>
    <row r="11" customFormat="false" ht="15" hidden="false" customHeight="true" outlineLevel="0" collapsed="false">
      <c r="B11" s="1" t="s">
        <v>204</v>
      </c>
      <c r="C11" s="33" t="n">
        <f aca="false">Assumptions!$E$22</f>
        <v>2</v>
      </c>
      <c r="D11" s="33" t="n">
        <f aca="false">Assumptions!$E$22</f>
        <v>2</v>
      </c>
      <c r="E11" s="33" t="n">
        <f aca="false">Assumptions!$E$22</f>
        <v>2</v>
      </c>
      <c r="F11" s="33" t="n">
        <f aca="false">Assumptions!$E$22</f>
        <v>2</v>
      </c>
      <c r="G11" s="33" t="n">
        <f aca="false">Assumptions!$E$22</f>
        <v>2</v>
      </c>
      <c r="H11" s="33" t="n">
        <f aca="false">Assumptions!$E$22</f>
        <v>2</v>
      </c>
      <c r="I11" s="33" t="n">
        <f aca="false">Assumptions!$E$22</f>
        <v>2</v>
      </c>
      <c r="J11" s="33" t="n">
        <f aca="false">Assumptions!$E$22</f>
        <v>2</v>
      </c>
      <c r="K11" s="33" t="n">
        <f aca="false">Assumptions!$E$22</f>
        <v>2</v>
      </c>
      <c r="L11" s="33" t="n">
        <f aca="false">Assumptions!$E$22</f>
        <v>2</v>
      </c>
    </row>
    <row r="12" customFormat="false" ht="15" hidden="false" customHeight="true" outlineLevel="0" collapsed="false">
      <c r="B12" s="34" t="s">
        <v>205</v>
      </c>
      <c r="C12" s="35" t="n">
        <f aca="false">C8-C9-C10-C11</f>
        <v>113.9193</v>
      </c>
      <c r="D12" s="35" t="n">
        <f aca="false">D8-D9-D10-D11</f>
        <v>119.1356685</v>
      </c>
      <c r="E12" s="35" t="n">
        <f aca="false">E8-E9-E10-E11</f>
        <v>124.5867735825</v>
      </c>
      <c r="F12" s="35" t="n">
        <f aca="false">F8-F9-F10-F11</f>
        <v>130.283178393713</v>
      </c>
      <c r="G12" s="35" t="n">
        <f aca="false">G8-G9-G10-G11</f>
        <v>136.23592142143</v>
      </c>
      <c r="H12" s="35" t="n">
        <f aca="false">H8-H9-H10-H11</f>
        <v>142.456537885394</v>
      </c>
      <c r="I12" s="35" t="n">
        <f aca="false">I8-I9-I10-I11</f>
        <v>148.957082090237</v>
      </c>
      <c r="J12" s="35" t="n">
        <f aca="false">J8-J9-J10-J11</f>
        <v>155.750150784297</v>
      </c>
      <c r="K12" s="35" t="n">
        <f aca="false">K8-K9-K10-K11</f>
        <v>162.848907569591</v>
      </c>
      <c r="L12" s="35" t="n">
        <f aca="false">L8-L9-L10-L11</f>
        <v>170.267108410222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207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208</v>
      </c>
      <c r="C5" s="33" t="n">
        <f aca="false">Construction!M14</f>
        <v>821.826576088274</v>
      </c>
      <c r="D5" s="33" t="n">
        <f aca="false">C9</f>
        <v>793.874374962584</v>
      </c>
      <c r="E5" s="33" t="n">
        <f aca="false">D9</f>
        <v>760.379303263723</v>
      </c>
      <c r="F5" s="33" t="n">
        <f aca="false">E9</f>
        <v>720.813405416936</v>
      </c>
      <c r="G5" s="33" t="n">
        <f aca="false">F9</f>
        <v>674.606863630671</v>
      </c>
      <c r="H5" s="33" t="n">
        <f aca="false">G9</f>
        <v>621.144937322786</v>
      </c>
      <c r="I5" s="33" t="n">
        <f aca="false">H9</f>
        <v>559.764688330629</v>
      </c>
      <c r="J5" s="33" t="n">
        <f aca="false">I9</f>
        <v>489.75147729338</v>
      </c>
      <c r="K5" s="33" t="n">
        <f aca="false">J9</f>
        <v>410.33521561438</v>
      </c>
      <c r="L5" s="33" t="n">
        <f aca="false">K9</f>
        <v>320.686356365321</v>
      </c>
    </row>
    <row r="6" customFormat="false" ht="15" hidden="false" customHeight="true" outlineLevel="0" collapsed="false">
      <c r="B6" s="1" t="s">
        <v>209</v>
      </c>
      <c r="C6" s="33" t="n">
        <f aca="false">C5*Assumptions!$E$18</f>
        <v>53.4187274457378</v>
      </c>
      <c r="D6" s="33" t="n">
        <f aca="false">D5*Assumptions!$E$18</f>
        <v>51.6018343725679</v>
      </c>
      <c r="E6" s="33" t="n">
        <f aca="false">E5*Assumptions!$E$18</f>
        <v>49.424654712142</v>
      </c>
      <c r="F6" s="33" t="n">
        <f aca="false">F5*Assumptions!$E$18</f>
        <v>46.8528713521009</v>
      </c>
      <c r="G6" s="33" t="n">
        <f aca="false">G5*Assumptions!$E$18</f>
        <v>43.8494461359936</v>
      </c>
      <c r="H6" s="33" t="n">
        <f aca="false">H5*Assumptions!$E$18</f>
        <v>40.3744209259811</v>
      </c>
      <c r="I6" s="33" t="n">
        <f aca="false">I5*Assumptions!$E$18</f>
        <v>36.3847047414909</v>
      </c>
      <c r="J6" s="33" t="n">
        <f aca="false">J5*Assumptions!$E$18</f>
        <v>31.8338460240697</v>
      </c>
      <c r="K6" s="33" t="n">
        <f aca="false">K5*Assumptions!$E$18</f>
        <v>26.6717890149347</v>
      </c>
      <c r="L6" s="33" t="n">
        <f aca="false">L5*Assumptions!$E$18</f>
        <v>20.8446131637459</v>
      </c>
    </row>
    <row r="7" customFormat="false" ht="15" hidden="false" customHeight="true" outlineLevel="0" collapsed="false">
      <c r="B7" s="1" t="s">
        <v>210</v>
      </c>
      <c r="C7" s="33" t="n">
        <f aca="false">Operations!C12/Assumptions!$E$16</f>
        <v>81.3709285714286</v>
      </c>
      <c r="D7" s="33" t="n">
        <f aca="false">Operations!D12/Assumptions!$E$16</f>
        <v>85.0969060714286</v>
      </c>
      <c r="E7" s="33" t="n">
        <f aca="false">Operations!E12/Assumptions!$E$16</f>
        <v>88.9905525589286</v>
      </c>
      <c r="F7" s="33" t="n">
        <f aca="false">Operations!F12/Assumptions!$E$16</f>
        <v>93.0594131383661</v>
      </c>
      <c r="G7" s="33" t="n">
        <f aca="false">Operations!G12/Assumptions!$E$16</f>
        <v>97.3113724438782</v>
      </c>
      <c r="H7" s="33" t="n">
        <f aca="false">Operations!H12/Assumptions!$E$16</f>
        <v>101.754669918138</v>
      </c>
      <c r="I7" s="33" t="n">
        <f aca="false">Operations!I12/Assumptions!$E$16</f>
        <v>106.39791577874</v>
      </c>
      <c r="J7" s="33" t="n">
        <f aca="false">Operations!J12/Assumptions!$E$16</f>
        <v>111.250107703069</v>
      </c>
      <c r="K7" s="33" t="n">
        <f aca="false">Operations!K12/Assumptions!$E$16</f>
        <v>116.320648263993</v>
      </c>
      <c r="L7" s="33" t="n">
        <f aca="false">Operations!L12/Assumptions!$E$16</f>
        <v>121.619363150159</v>
      </c>
    </row>
    <row r="8" customFormat="false" ht="15" hidden="false" customHeight="true" outlineLevel="0" collapsed="false">
      <c r="B8" s="1" t="s">
        <v>211</v>
      </c>
      <c r="C8" s="33" t="n">
        <f aca="false">MIN(C5,MAX(0,MAX(0,C7-C6)))</f>
        <v>27.9522011256908</v>
      </c>
      <c r="D8" s="33" t="n">
        <f aca="false">MIN(D5,MAX(0,MAX(0,D7-D6)))</f>
        <v>33.4950716988606</v>
      </c>
      <c r="E8" s="33" t="n">
        <f aca="false">MIN(E5,MAX(0,MAX(0,E7-E6)))</f>
        <v>39.5658978467866</v>
      </c>
      <c r="F8" s="33" t="n">
        <f aca="false">MIN(F5,MAX(0,MAX(0,F7-F6)))</f>
        <v>46.2065417862652</v>
      </c>
      <c r="G8" s="33" t="n">
        <f aca="false">MIN(G5,MAX(0,MAX(0,G7-G6)))</f>
        <v>53.4619263078846</v>
      </c>
      <c r="H8" s="33" t="n">
        <f aca="false">MIN(H5,MAX(0,MAX(0,H7-H6)))</f>
        <v>61.3802489921573</v>
      </c>
      <c r="I8" s="33" t="n">
        <f aca="false">MIN(I5,MAX(0,MAX(0,I7-I6)))</f>
        <v>70.0132110372495</v>
      </c>
      <c r="J8" s="33" t="n">
        <f aca="false">MIN(J5,MAX(0,MAX(0,J7-J6)))</f>
        <v>79.4162616789998</v>
      </c>
      <c r="K8" s="33" t="n">
        <f aca="false">MIN(K5,MAX(0,MAX(0,K7-K6)))</f>
        <v>89.6488592490586</v>
      </c>
      <c r="L8" s="33" t="n">
        <f aca="false">MIN(L5,MAX(L5,MAX(0,L7-L6)))</f>
        <v>320.686356365321</v>
      </c>
    </row>
    <row r="9" customFormat="false" ht="15" hidden="false" customHeight="true" outlineLevel="0" collapsed="false">
      <c r="B9" s="34" t="s">
        <v>212</v>
      </c>
      <c r="C9" s="35" t="n">
        <f aca="false">MAX(0,C5-C8)</f>
        <v>793.874374962584</v>
      </c>
      <c r="D9" s="35" t="n">
        <f aca="false">MAX(0,D5-D8)</f>
        <v>760.379303263723</v>
      </c>
      <c r="E9" s="35" t="n">
        <f aca="false">MAX(0,E5-E8)</f>
        <v>720.813405416936</v>
      </c>
      <c r="F9" s="35" t="n">
        <f aca="false">MAX(0,F5-F8)</f>
        <v>674.606863630671</v>
      </c>
      <c r="G9" s="35" t="n">
        <f aca="false">MAX(0,G5-G8)</f>
        <v>621.144937322786</v>
      </c>
      <c r="H9" s="35" t="n">
        <f aca="false">MAX(0,H5-H8)</f>
        <v>559.764688330629</v>
      </c>
      <c r="I9" s="35" t="n">
        <f aca="false">MAX(0,I5-I8)</f>
        <v>489.75147729338</v>
      </c>
      <c r="J9" s="35" t="n">
        <f aca="false">MAX(0,J5-J8)</f>
        <v>410.33521561438</v>
      </c>
      <c r="K9" s="35" t="n">
        <f aca="false">MAX(0,K5-K8)</f>
        <v>320.686356365321</v>
      </c>
      <c r="L9" s="35" t="n">
        <f aca="false">MAX(0,L5-L8)</f>
        <v>0</v>
      </c>
    </row>
    <row r="10" customFormat="false" ht="15" hidden="false" customHeight="true" outlineLevel="0" collapsed="false">
      <c r="B10" s="34" t="s">
        <v>213</v>
      </c>
      <c r="C10" s="35" t="n">
        <f aca="false">C6+C8</f>
        <v>81.3709285714286</v>
      </c>
      <c r="D10" s="35" t="n">
        <f aca="false">D6+D8</f>
        <v>85.0969060714286</v>
      </c>
      <c r="E10" s="35" t="n">
        <f aca="false">E6+E8</f>
        <v>88.9905525589286</v>
      </c>
      <c r="F10" s="35" t="n">
        <f aca="false">F6+F8</f>
        <v>93.0594131383661</v>
      </c>
      <c r="G10" s="35" t="n">
        <f aca="false">G6+G8</f>
        <v>97.3113724438782</v>
      </c>
      <c r="H10" s="35" t="n">
        <f aca="false">H6+H8</f>
        <v>101.754669918138</v>
      </c>
      <c r="I10" s="35" t="n">
        <f aca="false">I6+I8</f>
        <v>106.39791577874</v>
      </c>
      <c r="J10" s="35" t="n">
        <f aca="false">J6+J8</f>
        <v>111.250107703069</v>
      </c>
      <c r="K10" s="35" t="n">
        <f aca="false">K6+K8</f>
        <v>116.320648263993</v>
      </c>
      <c r="L10" s="35" t="n">
        <f aca="false">L6+L8</f>
        <v>341.530969529067</v>
      </c>
    </row>
    <row r="11" customFormat="false" ht="15" hidden="false" customHeight="true" outlineLevel="0" collapsed="false">
      <c r="B11" s="1" t="s">
        <v>205</v>
      </c>
      <c r="C11" s="33" t="n">
        <f aca="false">Operations!C12</f>
        <v>113.9193</v>
      </c>
      <c r="D11" s="33" t="n">
        <f aca="false">Operations!D12</f>
        <v>119.1356685</v>
      </c>
      <c r="E11" s="33" t="n">
        <f aca="false">Operations!E12</f>
        <v>124.5867735825</v>
      </c>
      <c r="F11" s="33" t="n">
        <f aca="false">Operations!F12</f>
        <v>130.283178393713</v>
      </c>
      <c r="G11" s="33" t="n">
        <f aca="false">Operations!G12</f>
        <v>136.23592142143</v>
      </c>
      <c r="H11" s="33" t="n">
        <f aca="false">Operations!H12</f>
        <v>142.456537885394</v>
      </c>
      <c r="I11" s="33" t="n">
        <f aca="false">Operations!I12</f>
        <v>148.957082090237</v>
      </c>
      <c r="J11" s="33" t="n">
        <f aca="false">Operations!J12</f>
        <v>155.750150784297</v>
      </c>
      <c r="K11" s="33" t="n">
        <f aca="false">Operations!K12</f>
        <v>162.848907569591</v>
      </c>
      <c r="L11" s="33" t="n">
        <f aca="false">Operations!L12</f>
        <v>170.267108410222</v>
      </c>
    </row>
    <row r="12" customFormat="false" ht="15" hidden="false" customHeight="true" outlineLevel="0" collapsed="false">
      <c r="B12" s="1" t="s">
        <v>214</v>
      </c>
      <c r="C12" s="36" t="n">
        <f aca="false">IFERROR(C11/C10,0)</f>
        <v>1.4</v>
      </c>
      <c r="D12" s="36" t="n">
        <f aca="false">IFERROR(D11/D10,0)</f>
        <v>1.4</v>
      </c>
      <c r="E12" s="36" t="n">
        <f aca="false">IFERROR(E11/E10,0)</f>
        <v>1.4</v>
      </c>
      <c r="F12" s="36" t="n">
        <f aca="false">IFERROR(F11/F10,0)</f>
        <v>1.4</v>
      </c>
      <c r="G12" s="36" t="n">
        <f aca="false">IFERROR(G11/G10,0)</f>
        <v>1.4</v>
      </c>
      <c r="H12" s="36" t="n">
        <f aca="false">IFERROR(H11/H10,0)</f>
        <v>1.4</v>
      </c>
      <c r="I12" s="36" t="n">
        <f aca="false">IFERROR(I11/I10,0)</f>
        <v>1.4</v>
      </c>
      <c r="J12" s="36" t="n">
        <f aca="false">IFERROR(J11/J10,0)</f>
        <v>1.4</v>
      </c>
      <c r="K12" s="36" t="n">
        <f aca="false">IFERROR(K11/K10,0)</f>
        <v>1.4</v>
      </c>
      <c r="L12" s="36" t="n">
        <f aca="false">IFERROR(L11/L10,0)</f>
        <v>0.498540757943566</v>
      </c>
    </row>
    <row r="13" customFormat="false" ht="15" hidden="false" customHeight="true" outlineLevel="0" collapsed="false">
      <c r="B13" s="1" t="s">
        <v>215</v>
      </c>
      <c r="C13" s="37" t="n">
        <f aca="false">1/(1+Assumptions!$E$21)^1</f>
        <v>0.934579439252336</v>
      </c>
      <c r="D13" s="37" t="n">
        <f aca="false">1/(1+Assumptions!$E$21)^2</f>
        <v>0.873438728273212</v>
      </c>
      <c r="E13" s="37" t="n">
        <f aca="false">1/(1+Assumptions!$E$21)^3</f>
        <v>0.816297876890852</v>
      </c>
      <c r="F13" s="37" t="n">
        <f aca="false">1/(1+Assumptions!$E$21)^4</f>
        <v>0.762895212047525</v>
      </c>
      <c r="G13" s="37" t="n">
        <f aca="false">1/(1+Assumptions!$E$21)^5</f>
        <v>0.712986179483668</v>
      </c>
      <c r="H13" s="37" t="n">
        <f aca="false">1/(1+Assumptions!$E$21)^6</f>
        <v>0.666342223816512</v>
      </c>
      <c r="I13" s="37" t="n">
        <f aca="false">1/(1+Assumptions!$E$21)^7</f>
        <v>0.622749741884591</v>
      </c>
      <c r="J13" s="37" t="n">
        <f aca="false">1/(1+Assumptions!$E$21)^8</f>
        <v>0.582009104565038</v>
      </c>
      <c r="K13" s="37" t="n">
        <f aca="false">1/(1+Assumptions!$E$21)^9</f>
        <v>0.543933742584148</v>
      </c>
      <c r="L13" s="37" t="n">
        <f aca="false">1/(1+Assumptions!$E$21)^10</f>
        <v>0.508349292134718</v>
      </c>
    </row>
    <row r="14" customFormat="false" ht="15" hidden="false" customHeight="true" outlineLevel="0" collapsed="false">
      <c r="B14" s="1" t="s">
        <v>216</v>
      </c>
      <c r="C14" s="33" t="n">
        <f aca="false">C11*C13</f>
        <v>106.466635514019</v>
      </c>
      <c r="D14" s="33" t="n">
        <f aca="false">D11*D13</f>
        <v>104.057706786619</v>
      </c>
      <c r="E14" s="33" t="n">
        <f aca="false">E11*E13</f>
        <v>101.699918764076</v>
      </c>
      <c r="F14" s="33" t="n">
        <f aca="false">F11*F13</f>
        <v>99.3924130068968</v>
      </c>
      <c r="G14" s="33" t="n">
        <f aca="false">G11*G13</f>
        <v>97.1343291227023</v>
      </c>
      <c r="H14" s="33" t="n">
        <f aca="false">H11*H13</f>
        <v>94.9248062517546</v>
      </c>
      <c r="I14" s="33" t="n">
        <f aca="false">I11*I13</f>
        <v>92.7629844235766</v>
      </c>
      <c r="J14" s="33" t="n">
        <f aca="false">J11*J13</f>
        <v>90.6480057938385</v>
      </c>
      <c r="K14" s="33" t="n">
        <f aca="false">K11*K13</f>
        <v>88.5790157700674</v>
      </c>
      <c r="L14" s="33" t="n">
        <f aca="false">L11*L13</f>
        <v>86.5551640341616</v>
      </c>
    </row>
    <row r="15" customFormat="false" ht="15" hidden="false" customHeight="true" outlineLevel="0" collapsed="false">
      <c r="B15" s="1" t="s">
        <v>217</v>
      </c>
      <c r="C15" s="36" t="n">
        <f aca="false">IFERROR(SUM(C14:$L$14)/C5,0)</f>
        <v>1.17083215299228</v>
      </c>
      <c r="D15" s="36" t="n">
        <f aca="false">IFERROR(SUM(D14:$L$14)/D5,0)</f>
        <v>1.07794680234392</v>
      </c>
      <c r="E15" s="36" t="n">
        <f aca="false">IFERROR(SUM(E14:$L$14)/E5,0)</f>
        <v>0.988581138309024</v>
      </c>
      <c r="F15" s="36" t="n">
        <f aca="false">IFERROR(SUM(F14:$L$14)/F5,0)</f>
        <v>0.901754481143457</v>
      </c>
      <c r="G15" s="36" t="n">
        <f aca="false">IFERROR(SUM(G14:$L$14)/G5,0)</f>
        <v>0.816185448266565</v>
      </c>
      <c r="H15" s="36" t="n">
        <f aca="false">IFERROR(SUM(H14:$L$14)/H5,0)</f>
        <v>0.730055014579869</v>
      </c>
      <c r="I15" s="36" t="n">
        <f aca="false">IFERROR(SUM(I14:$L$14)/I5,0)</f>
        <v>0.640528381829378</v>
      </c>
      <c r="J15" s="36" t="n">
        <f aca="false">IFERROR(SUM(J14:$L$14)/J5,0)</f>
        <v>0.542687869094173</v>
      </c>
      <c r="K15" s="36" t="n">
        <f aca="false">IFERROR(SUM(K14:$L$14)/K5,0)</f>
        <v>0.426807578633014</v>
      </c>
      <c r="L15" s="36" t="n">
        <f aca="false">IFERROR(SUM(L14:$L$14)/L5,0)</f>
        <v>0.269905976091977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219</v>
      </c>
      <c r="C5" s="33" t="n">
        <f aca="false">'Debt Sculpting'!D10</f>
        <v>85.0969060714286</v>
      </c>
      <c r="D5" s="33" t="n">
        <f aca="false">'Debt Sculpting'!E10</f>
        <v>88.9905525589286</v>
      </c>
      <c r="E5" s="33" t="n">
        <f aca="false">'Debt Sculpting'!F10</f>
        <v>93.0594131383661</v>
      </c>
      <c r="F5" s="33" t="n">
        <f aca="false">'Debt Sculpting'!G10</f>
        <v>97.3113724438782</v>
      </c>
      <c r="G5" s="33" t="n">
        <f aca="false">'Debt Sculpting'!H10</f>
        <v>101.754669918138</v>
      </c>
      <c r="H5" s="33" t="n">
        <f aca="false">'Debt Sculpting'!I10</f>
        <v>106.39791577874</v>
      </c>
      <c r="I5" s="33" t="n">
        <f aca="false">'Debt Sculpting'!J10</f>
        <v>111.250107703069</v>
      </c>
      <c r="J5" s="33" t="n">
        <f aca="false">'Debt Sculpting'!K10</f>
        <v>116.320648263993</v>
      </c>
      <c r="K5" s="33" t="n">
        <f aca="false">'Debt Sculpting'!L10</f>
        <v>341.530969529067</v>
      </c>
      <c r="L5" s="33" t="n">
        <f aca="false">'Debt Sculpting'!L10</f>
        <v>341.530969529067</v>
      </c>
    </row>
    <row r="6" customFormat="false" ht="15" hidden="false" customHeight="true" outlineLevel="0" collapsed="false">
      <c r="B6" s="1" t="s">
        <v>220</v>
      </c>
      <c r="C6" s="33" t="n">
        <f aca="false">C5*Assumptions!$E$20/12</f>
        <v>42.5484530357143</v>
      </c>
      <c r="D6" s="33" t="n">
        <f aca="false">D5*Assumptions!$E$20/12</f>
        <v>44.4952762794643</v>
      </c>
      <c r="E6" s="33" t="n">
        <f aca="false">E5*Assumptions!$E$20/12</f>
        <v>46.529706569183</v>
      </c>
      <c r="F6" s="33" t="n">
        <f aca="false">F5*Assumptions!$E$20/12</f>
        <v>48.6556862219391</v>
      </c>
      <c r="G6" s="33" t="n">
        <f aca="false">G5*Assumptions!$E$20/12</f>
        <v>50.8773349590692</v>
      </c>
      <c r="H6" s="33" t="n">
        <f aca="false">H5*Assumptions!$E$20/12</f>
        <v>53.1989578893702</v>
      </c>
      <c r="I6" s="33" t="n">
        <f aca="false">I5*Assumptions!$E$20/12</f>
        <v>55.6250538515347</v>
      </c>
      <c r="J6" s="33" t="n">
        <f aca="false">J5*Assumptions!$E$20/12</f>
        <v>58.1603241319966</v>
      </c>
      <c r="K6" s="33" t="n">
        <f aca="false">K5*Assumptions!$E$20/12</f>
        <v>170.765484764534</v>
      </c>
      <c r="L6" s="33" t="n">
        <f aca="false">L5*Assumptions!$E$20/12</f>
        <v>170.765484764534</v>
      </c>
    </row>
    <row r="7" customFormat="false" ht="15" hidden="false" customHeight="true" outlineLevel="0" collapsed="false">
      <c r="B7" s="1" t="s">
        <v>221</v>
      </c>
      <c r="C7" s="33" t="n">
        <f aca="false">C6</f>
        <v>42.5484530357143</v>
      </c>
      <c r="D7" s="33" t="n">
        <f aca="false">C9</f>
        <v>42.5484530357143</v>
      </c>
      <c r="E7" s="33" t="n">
        <f aca="false">D9</f>
        <v>44.4952762794643</v>
      </c>
      <c r="F7" s="33" t="n">
        <f aca="false">E9</f>
        <v>46.529706569183</v>
      </c>
      <c r="G7" s="33" t="n">
        <f aca="false">F9</f>
        <v>48.6556862219391</v>
      </c>
      <c r="H7" s="33" t="n">
        <f aca="false">G9</f>
        <v>50.8773349590692</v>
      </c>
      <c r="I7" s="33" t="n">
        <f aca="false">H9</f>
        <v>53.1989578893702</v>
      </c>
      <c r="J7" s="33" t="n">
        <f aca="false">I9</f>
        <v>55.6250538515347</v>
      </c>
      <c r="K7" s="33" t="n">
        <f aca="false">J9</f>
        <v>58.1603241319966</v>
      </c>
      <c r="L7" s="33" t="n">
        <f aca="false">K9</f>
        <v>170.765484764534</v>
      </c>
    </row>
    <row r="8" customFormat="false" ht="15" hidden="false" customHeight="true" outlineLevel="0" collapsed="false">
      <c r="B8" s="1" t="s">
        <v>222</v>
      </c>
      <c r="C8" s="33" t="n">
        <f aca="false">C6-C7</f>
        <v>0</v>
      </c>
      <c r="D8" s="33" t="n">
        <f aca="false">D6-D7</f>
        <v>1.94682324374999</v>
      </c>
      <c r="E8" s="33" t="n">
        <f aca="false">E6-E7</f>
        <v>2.03443028971877</v>
      </c>
      <c r="F8" s="33" t="n">
        <f aca="false">F6-F7</f>
        <v>2.12597965275609</v>
      </c>
      <c r="G8" s="33" t="n">
        <f aca="false">G6-G7</f>
        <v>2.22164873713008</v>
      </c>
      <c r="H8" s="33" t="n">
        <f aca="false">H6-H7</f>
        <v>2.32162293030098</v>
      </c>
      <c r="I8" s="33" t="n">
        <f aca="false">I6-I7</f>
        <v>2.42609596216452</v>
      </c>
      <c r="J8" s="33" t="n">
        <f aca="false">J6-J7</f>
        <v>2.53527028046193</v>
      </c>
      <c r="K8" s="33" t="n">
        <f aca="false">K6-K7</f>
        <v>112.605160632537</v>
      </c>
      <c r="L8" s="33" t="n">
        <f aca="false">L6-L7</f>
        <v>0</v>
      </c>
    </row>
    <row r="9" customFormat="false" ht="15" hidden="false" customHeight="true" outlineLevel="0" collapsed="false">
      <c r="B9" s="1" t="s">
        <v>223</v>
      </c>
      <c r="C9" s="33" t="n">
        <f aca="false">C7+C8</f>
        <v>42.5484530357143</v>
      </c>
      <c r="D9" s="33" t="n">
        <f aca="false">D7+D8</f>
        <v>44.4952762794643</v>
      </c>
      <c r="E9" s="33" t="n">
        <f aca="false">E7+E8</f>
        <v>46.529706569183</v>
      </c>
      <c r="F9" s="33" t="n">
        <f aca="false">F7+F8</f>
        <v>48.6556862219391</v>
      </c>
      <c r="G9" s="33" t="n">
        <f aca="false">G7+G8</f>
        <v>50.8773349590692</v>
      </c>
      <c r="H9" s="33" t="n">
        <f aca="false">H7+H8</f>
        <v>53.1989578893702</v>
      </c>
      <c r="I9" s="33" t="n">
        <f aca="false">I7+I8</f>
        <v>55.6250538515347</v>
      </c>
      <c r="J9" s="33" t="n">
        <f aca="false">J7+J8</f>
        <v>58.1603241319966</v>
      </c>
      <c r="K9" s="33" t="n">
        <f aca="false">K7+K8</f>
        <v>170.765484764534</v>
      </c>
      <c r="L9" s="33" t="n">
        <f aca="false">L7+L8</f>
        <v>170.765484764534</v>
      </c>
    </row>
    <row r="10" customFormat="false" ht="15" hidden="false" customHeight="true" outlineLevel="0" collapsed="false">
      <c r="B10" s="1" t="s">
        <v>224</v>
      </c>
      <c r="C10" s="33" t="n">
        <f aca="false">IF(COLUMN()=3,C7,0)</f>
        <v>42.5484530357143</v>
      </c>
      <c r="D10" s="33" t="n">
        <f aca="false">IF(COLUMN()=3,D7,0)</f>
        <v>0</v>
      </c>
      <c r="E10" s="33" t="n">
        <f aca="false">IF(COLUMN()=3,E7,0)</f>
        <v>0</v>
      </c>
      <c r="F10" s="33" t="n">
        <f aca="false">IF(COLUMN()=3,F7,0)</f>
        <v>0</v>
      </c>
      <c r="G10" s="33" t="n">
        <f aca="false">IF(COLUMN()=3,G7,0)</f>
        <v>0</v>
      </c>
      <c r="H10" s="33" t="n">
        <f aca="false">IF(COLUMN()=3,H7,0)</f>
        <v>0</v>
      </c>
      <c r="I10" s="33" t="n">
        <f aca="false">IF(COLUMN()=3,I7,0)</f>
        <v>0</v>
      </c>
      <c r="J10" s="33" t="n">
        <f aca="false">IF(COLUMN()=3,J7,0)</f>
        <v>0</v>
      </c>
      <c r="K10" s="33" t="n">
        <f aca="false">IF(COLUMN()=3,K7,0)</f>
        <v>0</v>
      </c>
      <c r="L10" s="3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226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214</v>
      </c>
      <c r="C5" s="36" t="n">
        <f aca="false">'Debt Sculpting'!C12</f>
        <v>1.4</v>
      </c>
      <c r="D5" s="36" t="n">
        <f aca="false">'Debt Sculpting'!D12</f>
        <v>1.4</v>
      </c>
      <c r="E5" s="36" t="n">
        <f aca="false">'Debt Sculpting'!E12</f>
        <v>1.4</v>
      </c>
      <c r="F5" s="36" t="n">
        <f aca="false">'Debt Sculpting'!F12</f>
        <v>1.4</v>
      </c>
      <c r="G5" s="36" t="n">
        <f aca="false">'Debt Sculpting'!G12</f>
        <v>1.4</v>
      </c>
      <c r="H5" s="36" t="n">
        <f aca="false">'Debt Sculpting'!H12</f>
        <v>1.4</v>
      </c>
      <c r="I5" s="36" t="n">
        <f aca="false">'Debt Sculpting'!I12</f>
        <v>1.4</v>
      </c>
      <c r="J5" s="36" t="n">
        <f aca="false">'Debt Sculpting'!J12</f>
        <v>1.4</v>
      </c>
      <c r="K5" s="36" t="n">
        <f aca="false">'Debt Sculpting'!K12</f>
        <v>1.4</v>
      </c>
      <c r="L5" s="36" t="n">
        <f aca="false">'Debt Sculpting'!L12</f>
        <v>0.498540757943566</v>
      </c>
    </row>
    <row r="6" customFormat="false" ht="15" hidden="false" customHeight="true" outlineLevel="0" collapsed="false">
      <c r="B6" s="1" t="s">
        <v>227</v>
      </c>
      <c r="C6" s="36" t="n">
        <f aca="false">Assumptions!$E$17</f>
        <v>1.2</v>
      </c>
      <c r="D6" s="36" t="n">
        <f aca="false">Assumptions!$E$17</f>
        <v>1.2</v>
      </c>
      <c r="E6" s="36" t="n">
        <f aca="false">Assumptions!$E$17</f>
        <v>1.2</v>
      </c>
      <c r="F6" s="36" t="n">
        <f aca="false">Assumptions!$E$17</f>
        <v>1.2</v>
      </c>
      <c r="G6" s="36" t="n">
        <f aca="false">Assumptions!$E$17</f>
        <v>1.2</v>
      </c>
      <c r="H6" s="36" t="n">
        <f aca="false">Assumptions!$E$17</f>
        <v>1.2</v>
      </c>
      <c r="I6" s="36" t="n">
        <f aca="false">Assumptions!$E$17</f>
        <v>1.2</v>
      </c>
      <c r="J6" s="36" t="n">
        <f aca="false">Assumptions!$E$17</f>
        <v>1.2</v>
      </c>
      <c r="K6" s="36" t="n">
        <f aca="false">Assumptions!$E$17</f>
        <v>1.2</v>
      </c>
      <c r="L6" s="36" t="n">
        <f aca="false">Assumptions!$E$17</f>
        <v>1.2</v>
      </c>
    </row>
    <row r="7" customFormat="false" ht="15" hidden="false" customHeight="true" outlineLevel="0" collapsed="false">
      <c r="B7" s="1" t="s">
        <v>228</v>
      </c>
      <c r="C7" s="36" t="n">
        <f aca="false">C5-C6</f>
        <v>0.2</v>
      </c>
      <c r="D7" s="36" t="n">
        <f aca="false">D5-D6</f>
        <v>0.2</v>
      </c>
      <c r="E7" s="36" t="n">
        <f aca="false">E5-E6</f>
        <v>0.2</v>
      </c>
      <c r="F7" s="36" t="n">
        <f aca="false">F5-F6</f>
        <v>0.2</v>
      </c>
      <c r="G7" s="36" t="n">
        <f aca="false">G5-G6</f>
        <v>0.2</v>
      </c>
      <c r="H7" s="36" t="n">
        <f aca="false">H5-H6</f>
        <v>0.2</v>
      </c>
      <c r="I7" s="36" t="n">
        <f aca="false">I5-I6</f>
        <v>0.2</v>
      </c>
      <c r="J7" s="36" t="n">
        <f aca="false">J5-J6</f>
        <v>0.2</v>
      </c>
      <c r="K7" s="36" t="n">
        <f aca="false">K5-K6</f>
        <v>0.2</v>
      </c>
      <c r="L7" s="36" t="n">
        <f aca="false">L5-L6</f>
        <v>-0.701459242056434</v>
      </c>
    </row>
    <row r="8" customFormat="false" ht="15" hidden="false" customHeight="true" outlineLevel="0" collapsed="false">
      <c r="B8" s="1" t="s">
        <v>229</v>
      </c>
      <c r="C8" s="36" t="n">
        <f aca="false">'Debt Sculpting'!C15</f>
        <v>1.17083215299228</v>
      </c>
      <c r="D8" s="36" t="n">
        <f aca="false">'Debt Sculpting'!D15</f>
        <v>1.07794680234392</v>
      </c>
      <c r="E8" s="36" t="n">
        <f aca="false">'Debt Sculpting'!E15</f>
        <v>0.988581138309024</v>
      </c>
      <c r="F8" s="36" t="n">
        <f aca="false">'Debt Sculpting'!F15</f>
        <v>0.901754481143457</v>
      </c>
      <c r="G8" s="36" t="n">
        <f aca="false">'Debt Sculpting'!G15</f>
        <v>0.816185448266565</v>
      </c>
      <c r="H8" s="36" t="n">
        <f aca="false">'Debt Sculpting'!H15</f>
        <v>0.730055014579869</v>
      </c>
      <c r="I8" s="36" t="n">
        <f aca="false">'Debt Sculpting'!I15</f>
        <v>0.640528381829378</v>
      </c>
      <c r="J8" s="36" t="n">
        <f aca="false">'Debt Sculpting'!J15</f>
        <v>0.542687869094173</v>
      </c>
      <c r="K8" s="36" t="n">
        <f aca="false">'Debt Sculpting'!K15</f>
        <v>0.426807578633014</v>
      </c>
      <c r="L8" s="36" t="n">
        <f aca="false">'Debt Sculpting'!L15</f>
        <v>0.269905976091977</v>
      </c>
    </row>
    <row r="9" customFormat="false" ht="15" hidden="false" customHeight="true" outlineLevel="0" collapsed="false">
      <c r="B9" s="1" t="s">
        <v>230</v>
      </c>
      <c r="C9" s="36" t="n">
        <f aca="false">IFERROR(SUM('Debt Sculpting'!C14:$L$14)/'Debt Sculpting'!C5,0)</f>
        <v>1.17083215299228</v>
      </c>
      <c r="D9" s="36" t="n">
        <f aca="false">IFERROR(SUM('Debt Sculpting'!D14:$L$14)/'Debt Sculpting'!D5,0)</f>
        <v>1.07794680234392</v>
      </c>
      <c r="E9" s="36" t="n">
        <f aca="false">IFERROR(SUM('Debt Sculpting'!E14:$L$14)/'Debt Sculpting'!E5,0)</f>
        <v>0.988581138309024</v>
      </c>
      <c r="F9" s="36" t="n">
        <f aca="false">IFERROR(SUM('Debt Sculpting'!F14:$L$14)/'Debt Sculpting'!F5,0)</f>
        <v>0.901754481143457</v>
      </c>
      <c r="G9" s="36" t="n">
        <f aca="false">IFERROR(SUM('Debt Sculpting'!G14:$L$14)/'Debt Sculpting'!G5,0)</f>
        <v>0.816185448266565</v>
      </c>
      <c r="H9" s="36" t="n">
        <f aca="false">IFERROR(SUM('Debt Sculpting'!H14:$L$14)/'Debt Sculpting'!H5,0)</f>
        <v>0.730055014579869</v>
      </c>
      <c r="I9" s="36" t="n">
        <f aca="false">IFERROR(SUM('Debt Sculpting'!I14:$L$14)/'Debt Sculpting'!I5,0)</f>
        <v>0.640528381829378</v>
      </c>
      <c r="J9" s="36" t="n">
        <f aca="false">IFERROR(SUM('Debt Sculpting'!J14:$L$14)/'Debt Sculpting'!J5,0)</f>
        <v>0.542687869094173</v>
      </c>
      <c r="K9" s="36" t="n">
        <f aca="false">IFERROR(SUM('Debt Sculpting'!K14:$L$14)/'Debt Sculpting'!K5,0)</f>
        <v>0.426807578633014</v>
      </c>
      <c r="L9" s="36" t="n">
        <f aca="false">IFERROR(SUM('Debt Sculpting'!L14:$L$14)/'Debt Sculpting'!L5,0)</f>
        <v>0.269905976091977</v>
      </c>
    </row>
    <row r="10" customFormat="false" ht="15" hidden="false" customHeight="true" outlineLevel="0" collapsed="false">
      <c r="B10" s="1" t="s">
        <v>231</v>
      </c>
      <c r="C10" s="36" t="n">
        <f aca="false">IFERROR('Debt Sculpting'!C9/Operations!C8,0)</f>
        <v>5.48831905703904</v>
      </c>
      <c r="D10" s="36" t="n">
        <f aca="false">IFERROR('Debt Sculpting'!D9/Operations!D8,0)</f>
        <v>5.03038892278555</v>
      </c>
      <c r="E10" s="36" t="n">
        <f aca="false">IFERROR('Debt Sculpting'!E9/Operations!E8,0)</f>
        <v>4.56328759881714</v>
      </c>
      <c r="F10" s="36" t="n">
        <f aca="false">IFERROR('Debt Sculpting'!F9/Operations!F8,0)</f>
        <v>4.08685708528075</v>
      </c>
      <c r="G10" s="36" t="n">
        <f aca="false">IFERROR('Debt Sculpting'!G9/Operations!G8,0)</f>
        <v>3.60093560372434</v>
      </c>
      <c r="H10" s="36" t="n">
        <f aca="false">IFERROR('Debt Sculpting'!H9/Operations!H8,0)</f>
        <v>3.10535755727727</v>
      </c>
      <c r="I10" s="36" t="n">
        <f aca="false">IFERROR('Debt Sculpting'!I9/Operations!I8,0)</f>
        <v>2.5999534886692</v>
      </c>
      <c r="J10" s="36" t="n">
        <f aca="false">IFERROR('Debt Sculpting'!J9/Operations!J8,0)</f>
        <v>2.08455003610636</v>
      </c>
      <c r="K10" s="36" t="n">
        <f aca="false">IFERROR('Debt Sculpting'!K9/Operations!K8,0)</f>
        <v>1.5589698870218</v>
      </c>
      <c r="L10" s="36" t="n">
        <f aca="false">IFERROR('Debt Sculpting'!L9/Operations!L8,0)</f>
        <v>0</v>
      </c>
    </row>
    <row r="11" customFormat="false" ht="15" hidden="false" customHeight="true" outlineLevel="0" collapsed="false">
      <c r="B11" s="1" t="s">
        <v>232</v>
      </c>
      <c r="C11" s="36" t="n">
        <f aca="false">IFERROR(DSRA!C9/DSRA!C6,0)</f>
        <v>1</v>
      </c>
      <c r="D11" s="36" t="n">
        <f aca="false">IFERROR(DSRA!D9/DSRA!D6,0)</f>
        <v>1</v>
      </c>
      <c r="E11" s="36" t="n">
        <f aca="false">IFERROR(DSRA!E9/DSRA!E6,0)</f>
        <v>1</v>
      </c>
      <c r="F11" s="36" t="n">
        <f aca="false">IFERROR(DSRA!F9/DSRA!F6,0)</f>
        <v>1</v>
      </c>
      <c r="G11" s="36" t="n">
        <f aca="false">IFERROR(DSRA!G9/DSRA!G6,0)</f>
        <v>1</v>
      </c>
      <c r="H11" s="36" t="n">
        <f aca="false">IFERROR(DSRA!H9/DSRA!H6,0)</f>
        <v>1</v>
      </c>
      <c r="I11" s="36" t="n">
        <f aca="false">IFERROR(DSRA!I9/DSRA!I6,0)</f>
        <v>1</v>
      </c>
      <c r="J11" s="36" t="n">
        <f aca="false">IFERROR(DSRA!J9/DSRA!J6,0)</f>
        <v>1</v>
      </c>
      <c r="K11" s="36" t="n">
        <f aca="false">IFERROR(DSRA!K9/DSRA!K6,0)</f>
        <v>1</v>
      </c>
      <c r="L11" s="36" t="n">
        <f aca="false">IFERROR(DSRA!L9/DSRA!L6,0)</f>
        <v>1</v>
      </c>
    </row>
    <row r="12" customFormat="false" ht="15" hidden="false" customHeight="true" outlineLevel="0" collapsed="false">
      <c r="B12" s="1" t="s">
        <v>233</v>
      </c>
      <c r="C12" s="1" t="str">
        <f aca="false">IF(AND(C7&gt;=0,C8&gt;=1,C11&gt;=1),"PASS","BREACH")</f>
        <v>PASS</v>
      </c>
      <c r="D12" s="1" t="str">
        <f aca="false">IF(AND(D7&gt;=0,D8&gt;=1,D11&gt;=1),"PASS","BREACH")</f>
        <v>PASS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234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235</v>
      </c>
      <c r="C4" s="38" t="n">
        <v>0.22</v>
      </c>
      <c r="D4" s="38" t="n">
        <v>0.28</v>
      </c>
      <c r="E4" s="38" t="n">
        <v>0.34</v>
      </c>
      <c r="F4" s="38" t="n">
        <v>0.4</v>
      </c>
      <c r="G4" s="38" t="n">
        <v>0.46</v>
      </c>
    </row>
    <row r="5" customFormat="false" ht="15" hidden="false" customHeight="true" outlineLevel="0" collapsed="false">
      <c r="B5" s="32" t="n">
        <v>0</v>
      </c>
      <c r="C5" s="3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0.56490640294745</v>
      </c>
      <c r="D5" s="3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0.511385721492705</v>
      </c>
      <c r="E5" s="3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0.45786504003796</v>
      </c>
      <c r="F5" s="3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0.404344358583216</v>
      </c>
      <c r="G5" s="3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0.350823677128471</v>
      </c>
    </row>
    <row r="6" customFormat="false" ht="15" hidden="false" customHeight="true" outlineLevel="0" collapsed="false">
      <c r="B6" s="32" t="n">
        <v>0.05</v>
      </c>
      <c r="C6" s="3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0.530117960001866</v>
      </c>
      <c r="D6" s="3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0.479273312619858</v>
      </c>
      <c r="E6" s="3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0.428428665237851</v>
      </c>
      <c r="F6" s="3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0.377584017855843</v>
      </c>
      <c r="G6" s="3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0.326739370473836</v>
      </c>
    </row>
    <row r="7" customFormat="false" ht="15" hidden="false" customHeight="true" outlineLevel="0" collapsed="false">
      <c r="B7" s="32" t="n">
        <v>0.1</v>
      </c>
      <c r="C7" s="3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0.495329517056282</v>
      </c>
      <c r="D7" s="3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0.447160903747011</v>
      </c>
      <c r="E7" s="3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0.398992290437741</v>
      </c>
      <c r="F7" s="3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0.350823677128471</v>
      </c>
      <c r="G7" s="3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0.302655063819201</v>
      </c>
    </row>
    <row r="8" customFormat="false" ht="15" hidden="false" customHeight="true" outlineLevel="0" collapsed="false">
      <c r="B8" s="32" t="n">
        <v>0.15</v>
      </c>
      <c r="C8" s="3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0.460541074110698</v>
      </c>
      <c r="D8" s="3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0.415048494874165</v>
      </c>
      <c r="E8" s="3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0.369555915637632</v>
      </c>
      <c r="F8" s="3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0.324063336401098</v>
      </c>
      <c r="G8" s="3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0.278570757164565</v>
      </c>
    </row>
    <row r="9" customFormat="false" ht="15" hidden="false" customHeight="true" outlineLevel="0" collapsed="false">
      <c r="B9" s="32" t="n">
        <v>0.2</v>
      </c>
      <c r="C9" s="3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0.425752631165114</v>
      </c>
      <c r="D9" s="3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0.382936086001318</v>
      </c>
      <c r="E9" s="3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0.340119540837522</v>
      </c>
      <c r="F9" s="3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0.297302995673726</v>
      </c>
      <c r="G9" s="3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0.25448645050993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242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107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252</v>
      </c>
      <c r="E5" s="39" t="s">
        <v>253</v>
      </c>
    </row>
    <row r="6" customFormat="false" ht="15" hidden="false" customHeight="true" outlineLevel="0" collapsed="false">
      <c r="B6" s="39" t="s">
        <v>254</v>
      </c>
      <c r="C6" s="39" t="s">
        <v>255</v>
      </c>
      <c r="D6" s="39" t="s">
        <v>252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252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252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252</v>
      </c>
      <c r="E9" s="39" t="s">
        <v>265</v>
      </c>
    </row>
    <row r="10" customFormat="false" ht="15" hidden="false" customHeight="true" outlineLevel="0" collapsed="false">
      <c r="B10" s="39" t="s">
        <v>266</v>
      </c>
      <c r="C10" s="39" t="s">
        <v>267</v>
      </c>
      <c r="D10" s="39" t="s">
        <v>252</v>
      </c>
      <c r="E10" s="39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8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8</v>
      </c>
      <c r="E12" s="40" t="s">
        <v>274</v>
      </c>
    </row>
    <row r="13" customFormat="false" ht="15" hidden="false" customHeight="false" outlineLevel="0" collapsed="false">
      <c r="B13" s="40" t="s">
        <v>275</v>
      </c>
      <c r="C13" s="40" t="s">
        <v>276</v>
      </c>
      <c r="D13" s="40" t="s">
        <v>8</v>
      </c>
      <c r="E13" s="40" t="s">
        <v>277</v>
      </c>
    </row>
    <row r="14" customFormat="false" ht="15" hidden="false" customHeight="false" outlineLevel="0" collapsed="false">
      <c r="B14" s="40" t="s">
        <v>278</v>
      </c>
      <c r="C14" s="40" t="s">
        <v>273</v>
      </c>
      <c r="D14" s="40" t="s">
        <v>8</v>
      </c>
      <c r="E14" s="40" t="s">
        <v>279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280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281</v>
      </c>
      <c r="D4" s="16" t="s">
        <v>282</v>
      </c>
      <c r="E4" s="16" t="s">
        <v>283</v>
      </c>
      <c r="F4" s="16" t="s">
        <v>284</v>
      </c>
      <c r="G4" s="16" t="s">
        <v>285</v>
      </c>
    </row>
    <row r="5" customFormat="false" ht="15" hidden="false" customHeight="true" outlineLevel="0" collapsed="false">
      <c r="B5" s="41" t="s">
        <v>286</v>
      </c>
      <c r="C5" s="41" t="s">
        <v>287</v>
      </c>
      <c r="D5" s="41" t="s">
        <v>273</v>
      </c>
      <c r="E5" s="41" t="s">
        <v>288</v>
      </c>
      <c r="F5" s="41" t="s">
        <v>289</v>
      </c>
      <c r="G5" s="41" t="s">
        <v>290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