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apital Structure" sheetId="6" state="visible" r:id="rId6"/>
    <sheet xmlns:r="http://schemas.openxmlformats.org/officeDocument/2006/relationships" name="Maturity Ladder" sheetId="7" state="visible" r:id="rId7"/>
    <sheet xmlns:r="http://schemas.openxmlformats.org/officeDocument/2006/relationships" name="Refinancing" sheetId="8" state="visible" r:id="rId8"/>
    <sheet xmlns:r="http://schemas.openxmlformats.org/officeDocument/2006/relationships" name="Interest Rate Risk" sheetId="9" state="visible" r:id="rId9"/>
    <sheet xmlns:r="http://schemas.openxmlformats.org/officeDocument/2006/relationships" name="Covenants" sheetId="10" state="visible" r:id="rId10"/>
    <sheet xmlns:r="http://schemas.openxmlformats.org/officeDocument/2006/relationships" name="Recover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  <sheet xmlns:r="http://schemas.openxmlformats.org/officeDocument/2006/relationships" name="Refinancing &amp; Rates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$#,##0.0;[Red]($#,##0.0);-"/>
    <numFmt numFmtId="165" formatCode="0.0%;[Red](0.0%);-"/>
    <numFmt numFmtId="166" formatCode="0.0x;[Red](0.0x);-"/>
    <numFmt numFmtId="167" formatCode="0.00%;[Red](0.00%);-"/>
    <numFmt numFmtId="168" formatCode="0 &quot;bps&quot;"/>
    <numFmt numFmtId="169" formatCode="$#,##0;($#,##0);&quot;-&quot;"/>
    <numFmt numFmtId="170" formatCode="0.0%;(0.0%);&quot;-&quot;"/>
    <numFmt numFmtId="171" formatCode="0.0x"/>
    <numFmt numFmtId="172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sz val="10"/>
    </font>
    <font>
      <b val="1"/>
      <color rgb="00FFFFFF"/>
      <sz val="15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167" fontId="0" fillId="0" borderId="0" pivotButton="0" quotePrefix="0" xfId="0"/>
    <xf numFmtId="166" fontId="0" fillId="0" borderId="0" pivotButton="0" quotePrefix="0" xfId="0"/>
    <xf numFmtId="168" fontId="4" fillId="2" borderId="1" applyAlignment="1" pivotButton="0" quotePrefix="0" xfId="0">
      <alignment horizontal="center" vertical="center" wrapText="1"/>
    </xf>
    <xf numFmtId="168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9" fontId="0" fillId="0" borderId="0" pivotButton="0" quotePrefix="0" xfId="0"/>
    <xf numFmtId="169" fontId="3" fillId="4" borderId="0" pivotButton="0" quotePrefix="0" xfId="0"/>
    <xf numFmtId="170" fontId="0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/>
    </xf>
    <xf numFmtId="169" fontId="3" fillId="4" borderId="3" pivotButton="0" quotePrefix="0" xfId="0"/>
    <xf numFmtId="170" fontId="3" fillId="4" borderId="3" pivotButton="0" quotePrefix="0" xfId="0"/>
    <xf numFmtId="171" fontId="3" fillId="4" borderId="3" pivotButton="0" quotePrefix="0" xfId="0"/>
    <xf numFmtId="169" fontId="0" fillId="0" borderId="3" pivotButton="0" quotePrefix="0" xfId="0"/>
    <xf numFmtId="170" fontId="0" fillId="0" borderId="3" pivotButton="0" quotePrefix="0" xfId="0"/>
    <xf numFmtId="171" fontId="0" fillId="0" borderId="3" pivotButton="0" quotePrefix="0" xfId="0"/>
    <xf numFmtId="172" fontId="0" fillId="0" borderId="3" pivotButton="0" quotePrefix="0" xfId="0"/>
    <xf numFmtId="0" fontId="0" fillId="0" borderId="3" pivotButton="0" quotePrefix="0" xfId="0"/>
    <xf numFmtId="0" fontId="11" fillId="0" borderId="0" pivotButton="0" quotePrefix="0" xfId="0"/>
    <xf numFmtId="0" fontId="11" fillId="0" borderId="3" pivotButton="0" quotePrefix="0" xfId="0"/>
    <xf numFmtId="0" fontId="12" fillId="6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6" borderId="0" pivotButton="0" quotePrefix="0" xfId="0"/>
    <xf numFmtId="0" fontId="13" fillId="7" borderId="4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[ISSUER] — Debt Finance &amp; Refinancing</t>
        </is>
      </c>
    </row>
    <row r="4">
      <c r="B4" s="2" t="inlineStr">
        <is>
          <t>Issuer:</t>
        </is>
      </c>
      <c r="C4" s="3" t="inlineStr">
        <is>
          <t>[Name]</t>
        </is>
      </c>
    </row>
    <row r="5">
      <c r="B5" s="2" t="inlineStr">
        <is>
          <t>Transaction:</t>
        </is>
      </c>
      <c r="C5" s="3" t="inlineStr">
        <is>
          <t>Refinancing / acquisition / general corporate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maturity / launch: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41" t="inlineStr">
        <is>
          <t>Debt Finance — Institutional Decision Surface</t>
        </is>
      </c>
    </row>
    <row r="4">
      <c r="B4" s="42" t="inlineStr">
        <is>
          <t>Model ID</t>
        </is>
      </c>
      <c r="C4" s="43" t="inlineStr">
        <is>
          <t>06</t>
        </is>
      </c>
    </row>
    <row r="5">
      <c r="B5" s="42" t="inlineStr">
        <is>
          <t>Domain</t>
        </is>
      </c>
      <c r="C5" s="43" t="inlineStr">
        <is>
          <t>Debt Finance</t>
        </is>
      </c>
    </row>
    <row r="6">
      <c r="B6" s="42" t="inlineStr">
        <is>
          <t>Declared maturity</t>
        </is>
      </c>
      <c r="C6" s="43" t="inlineStr">
        <is>
          <t>M2</t>
        </is>
      </c>
    </row>
    <row r="7">
      <c r="B7" s="42" t="inlineStr">
        <is>
          <t>Canonical builder</t>
        </is>
      </c>
      <c r="C7" s="43" t="inlineStr">
        <is>
          <t>tools/builders/build_debt_finance_release.py</t>
        </is>
      </c>
    </row>
    <row r="8">
      <c r="B8" s="42" t="inlineStr">
        <is>
          <t>Decision arena</t>
        </is>
      </c>
      <c r="C8" s="43" t="inlineStr">
        <is>
          <t>issuer treasury, syndicate desk, rating agencies and board finance committee</t>
        </is>
      </c>
    </row>
    <row r="9">
      <c r="B9" s="42" t="inlineStr">
        <is>
          <t>Committee artifact</t>
        </is>
      </c>
      <c r="C9" s="43" t="inlineStr">
        <is>
          <t>financing alternatives and execution memo</t>
        </is>
      </c>
    </row>
    <row r="10">
      <c r="B10" s="42" t="inlineStr">
        <is>
          <t>Operating cadence</t>
        </is>
      </c>
      <c r="C10" s="43" t="inlineStr">
        <is>
          <t>daily during execution; monthly treasury</t>
        </is>
      </c>
    </row>
    <row r="12">
      <c r="B12" s="44" t="inlineStr">
        <is>
          <t>Key decision outputs</t>
        </is>
      </c>
    </row>
    <row r="13">
      <c r="B13" s="45" t="inlineStr">
        <is>
          <t>#</t>
        </is>
      </c>
      <c r="C13" s="45" t="inlineStr">
        <is>
          <t>Requirement</t>
        </is>
      </c>
      <c r="D13" s="45" t="inlineStr">
        <is>
          <t>Owner</t>
        </is>
      </c>
      <c r="E13" s="45" t="inlineStr">
        <is>
          <t>Evidence / location</t>
        </is>
      </c>
      <c r="F13" s="45" t="inlineStr">
        <is>
          <t>Status</t>
        </is>
      </c>
    </row>
    <row r="14">
      <c r="B14" t="n">
        <v>1</v>
      </c>
      <c r="C14" t="inlineStr">
        <is>
          <t>all-in cost and break-even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maturity and refinancing profile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ratings and covenant capacity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4" t="inlineStr">
        <is>
          <t>Insider questions</t>
        </is>
      </c>
    </row>
    <row r="21">
      <c r="B21" s="45" t="inlineStr">
        <is>
          <t>#</t>
        </is>
      </c>
      <c r="C21" s="45" t="inlineStr">
        <is>
          <t>Requirement</t>
        </is>
      </c>
      <c r="D21" s="45" t="inlineStr">
        <is>
          <t>Owner</t>
        </is>
      </c>
      <c r="E21" s="45" t="inlineStr">
        <is>
          <t>Evidence / location</t>
        </is>
      </c>
      <c r="F21" s="45" t="inlineStr">
        <is>
          <t>Status</t>
        </is>
      </c>
    </row>
    <row r="22">
      <c r="B22" t="n">
        <v>1</v>
      </c>
      <c r="C22" t="inlineStr">
        <is>
          <t>Where is the break-even between fixed and floating?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flex can arrangers exercise?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maturities cluster under the downside?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4" t="inlineStr">
        <is>
          <t>Scenario families</t>
        </is>
      </c>
    </row>
    <row r="29">
      <c r="B29" s="45" t="inlineStr">
        <is>
          <t>#</t>
        </is>
      </c>
      <c r="C29" s="45" t="inlineStr">
        <is>
          <t>Requirement</t>
        </is>
      </c>
      <c r="D29" s="45" t="inlineStr">
        <is>
          <t>Owner</t>
        </is>
      </c>
      <c r="E29" s="45" t="inlineStr">
        <is>
          <t>Evidence / location</t>
        </is>
      </c>
      <c r="F29" s="45" t="inlineStr">
        <is>
          <t>Status</t>
        </is>
      </c>
    </row>
    <row r="30">
      <c r="B30" t="n">
        <v>1</v>
      </c>
      <c r="C30" t="inlineStr">
        <is>
          <t>base-rate and spread widening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failed syndication / flex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ratings downgrade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4" t="inlineStr">
        <is>
          <t>Primary diligence documents</t>
        </is>
      </c>
    </row>
    <row r="37">
      <c r="B37" s="45" t="inlineStr">
        <is>
          <t>#</t>
        </is>
      </c>
      <c r="C37" s="45" t="inlineStr">
        <is>
          <t>Requirement</t>
        </is>
      </c>
      <c r="D37" s="45" t="inlineStr">
        <is>
          <t>Owner</t>
        </is>
      </c>
      <c r="E37" s="45" t="inlineStr">
        <is>
          <t>Evidence / location</t>
        </is>
      </c>
      <c r="F37" s="45" t="inlineStr">
        <is>
          <t>Status</t>
        </is>
      </c>
    </row>
    <row r="38">
      <c r="B38" t="n">
        <v>1</v>
      </c>
      <c r="C38" t="inlineStr">
        <is>
          <t>bank proposals and commitment letters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indentures / credit agreements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rating-agency feedback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4" t="inlineStr">
        <is>
          <t>Challenge tests</t>
        </is>
      </c>
    </row>
    <row r="45">
      <c r="B45" s="45" t="inlineStr">
        <is>
          <t>#</t>
        </is>
      </c>
      <c r="C45" s="45" t="inlineStr">
        <is>
          <t>Requirement</t>
        </is>
      </c>
      <c r="D45" s="45" t="inlineStr">
        <is>
          <t>Owner</t>
        </is>
      </c>
      <c r="E45" s="45" t="inlineStr">
        <is>
          <t>Evidence / location</t>
        </is>
      </c>
      <c r="F45" s="45" t="inlineStr">
        <is>
          <t>Status</t>
        </is>
      </c>
    </row>
    <row r="46">
      <c r="B46" t="n">
        <v>1</v>
      </c>
      <c r="C46" t="inlineStr">
        <is>
          <t>sources and uses balance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all-in yield includes fees and OID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maturity ladder equals debt ledger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4" t="inlineStr">
        <is>
          <t>Known failure modes</t>
        </is>
      </c>
    </row>
    <row r="53">
      <c r="B53" s="45" t="inlineStr">
        <is>
          <t>#</t>
        </is>
      </c>
      <c r="C53" s="45" t="inlineStr">
        <is>
          <t>Requirement</t>
        </is>
      </c>
      <c r="D53" s="45" t="inlineStr">
        <is>
          <t>Owner</t>
        </is>
      </c>
      <c r="E53" s="45" t="inlineStr">
        <is>
          <t>Evidence / location</t>
        </is>
      </c>
      <c r="F53" s="45" t="inlineStr">
        <is>
          <t>Status</t>
        </is>
      </c>
    </row>
    <row r="54">
      <c r="B54" t="n">
        <v>1</v>
      </c>
      <c r="C54" t="inlineStr">
        <is>
          <t>quoting coupon instead of all-in cost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missing ticking fees and flex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assuming refinancing proceeds before conditions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4" t="inlineStr">
        <is>
          <t>Regulatory / methodological anchors</t>
        </is>
      </c>
    </row>
    <row r="61">
      <c r="B61" s="45" t="inlineStr">
        <is>
          <t>Standard</t>
        </is>
      </c>
      <c r="C61" s="45" t="inlineStr">
        <is>
          <t>Scope</t>
        </is>
      </c>
      <c r="D61" s="45" t="inlineStr">
        <is>
          <t>Source URL</t>
        </is>
      </c>
      <c r="E61" s="45" t="inlineStr">
        <is>
          <t>Applicability</t>
        </is>
      </c>
      <c r="F61" s="45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SRP31 IRRBB</t>
        </is>
      </c>
      <c r="C63" t="inlineStr">
        <is>
          <t>EVE/NII, basis and option risk</t>
        </is>
      </c>
      <c r="D63" t="inlineStr">
        <is>
          <t>https://www.bis.org/basel_framework/chapter/SRP/31.htm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41" t="inlineStr">
        <is>
          <t>Independent Challenge, Override and Closure Log</t>
        </is>
      </c>
    </row>
    <row r="4">
      <c r="B4" s="45" t="inlineStr">
        <is>
          <t>Date</t>
        </is>
      </c>
      <c r="C4" s="45" t="inlineStr">
        <is>
          <t>Reviewer</t>
        </is>
      </c>
      <c r="D4" s="45" t="inlineStr">
        <is>
          <t>Challenge</t>
        </is>
      </c>
      <c r="E4" s="45" t="inlineStr">
        <is>
          <t>Owner response</t>
        </is>
      </c>
      <c r="F4" s="45" t="inlineStr">
        <is>
          <t>Evidence</t>
        </is>
      </c>
      <c r="G4" s="45" t="inlineStr">
        <is>
          <t>Impact</t>
        </is>
      </c>
      <c r="H4" s="45" t="inlineStr">
        <is>
          <t>Status</t>
        </is>
      </c>
      <c r="I4" s="45" t="inlineStr">
        <is>
          <t>Closure</t>
        </is>
      </c>
    </row>
    <row r="5">
      <c r="B5" t="inlineStr"/>
      <c r="C5" t="inlineStr"/>
      <c r="D5" t="inlineStr">
        <is>
          <t>sources and uses balance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all-in yield includes fees and OID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maturity ladder equals debt ledger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41" t="inlineStr">
        <is>
          <t>Source, Transformation, Ownership and Refresh Map</t>
        </is>
      </c>
    </row>
    <row r="4">
      <c r="B4" s="45" t="inlineStr">
        <is>
          <t>Source class</t>
        </is>
      </c>
      <c r="C4" s="45" t="inlineStr">
        <is>
          <t>Cadence</t>
        </is>
      </c>
      <c r="D4" s="45" t="inlineStr">
        <is>
          <t>Control</t>
        </is>
      </c>
      <c r="E4" s="45" t="inlineStr">
        <is>
          <t>System / provider</t>
        </is>
      </c>
      <c r="F4" s="45" t="inlineStr">
        <is>
          <t>As-of</t>
        </is>
      </c>
      <c r="G4" s="45" t="inlineStr">
        <is>
          <t>Owner</t>
        </is>
      </c>
      <c r="H4" s="45" t="inlineStr">
        <is>
          <t>Transform</t>
        </is>
      </c>
      <c r="I4" s="45" t="inlineStr">
        <is>
          <t>Downstream</t>
        </is>
      </c>
      <c r="J4" s="45" t="inlineStr">
        <is>
          <t>Status</t>
        </is>
      </c>
    </row>
    <row r="5">
      <c r="B5" t="inlineStr">
        <is>
          <t>debt ledger</t>
        </is>
      </c>
      <c r="C5" t="inlineStr">
        <is>
          <t>daily/weekly</t>
        </is>
      </c>
      <c r="D5" t="inlineStr">
        <is>
          <t>principal and legal-entity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curves and spreads</t>
        </is>
      </c>
      <c r="C6" t="inlineStr">
        <is>
          <t>daily</t>
        </is>
      </c>
      <c r="D6" t="inlineStr">
        <is>
          <t>timestamped executable levels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Issuance &amp; Capital Structure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Note</t>
        </is>
      </c>
    </row>
    <row r="5">
      <c r="B5" t="inlineStr">
        <is>
          <t>EBITDA</t>
        </is>
      </c>
      <c r="C5" s="9" t="n">
        <v>120</v>
      </c>
      <c r="D5" s="9" t="n">
        <v>95</v>
      </c>
      <c r="E5" s="10">
        <f>IF(Cover!$C$9="Downside",D5,C5)</f>
        <v/>
      </c>
    </row>
    <row r="6">
      <c r="B6" t="inlineStr">
        <is>
          <t>Cash</t>
        </is>
      </c>
      <c r="C6" s="9" t="n">
        <v>40</v>
      </c>
      <c r="D6" s="9" t="n">
        <v>25</v>
      </c>
      <c r="E6" s="10">
        <f>IF(Cover!$C$9="Downside",D6,C6)</f>
        <v/>
      </c>
    </row>
    <row r="7">
      <c r="B7" t="inlineStr">
        <is>
          <t>Revolver drawn</t>
        </is>
      </c>
      <c r="C7" s="9" t="n">
        <v>25</v>
      </c>
      <c r="D7" s="9" t="n">
        <v>75</v>
      </c>
      <c r="E7" s="10">
        <f>IF(Cover!$C$9="Downside",D7,C7)</f>
        <v/>
      </c>
    </row>
    <row r="8">
      <c r="B8" t="inlineStr">
        <is>
          <t>Term loan</t>
        </is>
      </c>
      <c r="C8" s="9" t="n">
        <v>300</v>
      </c>
      <c r="D8" s="9" t="n">
        <v>300</v>
      </c>
      <c r="E8" s="10">
        <f>IF(Cover!$C$9="Downside",D8,C8)</f>
        <v/>
      </c>
    </row>
    <row r="9">
      <c r="B9" t="inlineStr">
        <is>
          <t>Senior notes</t>
        </is>
      </c>
      <c r="C9" s="9" t="n">
        <v>250</v>
      </c>
      <c r="D9" s="9" t="n">
        <v>250</v>
      </c>
      <c r="E9" s="10">
        <f>IF(Cover!$C$9="Downside",D9,C9)</f>
        <v/>
      </c>
    </row>
    <row r="10">
      <c r="B10" t="inlineStr">
        <is>
          <t>Other debt</t>
        </is>
      </c>
      <c r="C10" s="9" t="n">
        <v>50</v>
      </c>
      <c r="D10" s="9" t="n">
        <v>50</v>
      </c>
      <c r="E10" s="10">
        <f>IF(Cover!$C$9="Downside",D10,C10)</f>
        <v/>
      </c>
    </row>
    <row r="11">
      <c r="B11" t="inlineStr">
        <is>
          <t>Base rate</t>
        </is>
      </c>
      <c r="C11" s="11" t="n">
        <v>0.045</v>
      </c>
      <c r="D11" s="11" t="n">
        <v>0.06</v>
      </c>
      <c r="E11" s="12">
        <f>IF(Cover!$C$9="Downside",D11,C11)</f>
        <v/>
      </c>
    </row>
    <row r="12">
      <c r="B12" t="inlineStr">
        <is>
          <t>Revolver spread</t>
        </is>
      </c>
      <c r="C12" s="11" t="n">
        <v>0.025</v>
      </c>
      <c r="D12" s="11" t="n">
        <v>0.04</v>
      </c>
      <c r="E12" s="12">
        <f>IF(Cover!$C$9="Downside",D12,C12)</f>
        <v/>
      </c>
    </row>
    <row r="13">
      <c r="B13" t="inlineStr">
        <is>
          <t>Term loan spread</t>
        </is>
      </c>
      <c r="C13" s="11" t="n">
        <v>0.04</v>
      </c>
      <c r="D13" s="11" t="n">
        <v>0.06</v>
      </c>
      <c r="E13" s="12">
        <f>IF(Cover!$C$9="Downside",D13,C13)</f>
        <v/>
      </c>
    </row>
    <row r="14">
      <c r="B14" t="inlineStr">
        <is>
          <t>Senior notes coupon</t>
        </is>
      </c>
      <c r="C14" s="11" t="n">
        <v>0.055</v>
      </c>
      <c r="D14" s="11" t="n">
        <v>0.07000000000000001</v>
      </c>
      <c r="E14" s="12">
        <f>IF(Cover!$C$9="Downside",D14,C14)</f>
        <v/>
      </c>
    </row>
    <row r="15">
      <c r="B15" t="inlineStr">
        <is>
          <t>New issue spread</t>
        </is>
      </c>
      <c r="C15" s="11" t="n">
        <v>0.045</v>
      </c>
      <c r="D15" s="11" t="n">
        <v>0.075</v>
      </c>
      <c r="E15" s="12">
        <f>IF(Cover!$C$9="Downside",D15,C15)</f>
        <v/>
      </c>
    </row>
    <row r="16">
      <c r="B16" t="inlineStr">
        <is>
          <t>OID / fees</t>
        </is>
      </c>
      <c r="C16" s="11" t="n">
        <v>0.02</v>
      </c>
      <c r="D16" s="11" t="n">
        <v>0.03</v>
      </c>
      <c r="E16" s="12">
        <f>IF(Cover!$C$9="Downside",D16,C16)</f>
        <v/>
      </c>
    </row>
    <row r="17">
      <c r="B17" t="inlineStr">
        <is>
          <t>Minimum cash</t>
        </is>
      </c>
      <c r="C17" s="9" t="n">
        <v>25</v>
      </c>
      <c r="D17" s="9" t="n">
        <v>30</v>
      </c>
      <c r="E17" s="10">
        <f>IF(Cover!$C$9="Downside",D17,C17)</f>
        <v/>
      </c>
    </row>
    <row r="18">
      <c r="B18" t="inlineStr">
        <is>
          <t>Max leverage</t>
        </is>
      </c>
      <c r="C18" s="13" t="n">
        <v>5.5</v>
      </c>
      <c r="D18" s="13" t="n">
        <v>5</v>
      </c>
      <c r="E18" s="14">
        <f>IF(Cover!$C$9="Downside",D18,C18)</f>
        <v/>
      </c>
    </row>
    <row r="19">
      <c r="B19" t="inlineStr">
        <is>
          <t>Min interest coverage</t>
        </is>
      </c>
      <c r="C19" s="13" t="n">
        <v>2</v>
      </c>
      <c r="D19" s="13" t="n">
        <v>1.75</v>
      </c>
      <c r="E19" s="14">
        <f>IF(Cover!$C$9="Downside",D19,C19)</f>
        <v/>
      </c>
    </row>
    <row r="20">
      <c r="B20" t="inlineStr">
        <is>
          <t>Recovery multiple</t>
        </is>
      </c>
      <c r="C20" s="13" t="n">
        <v>5</v>
      </c>
      <c r="D20" s="13" t="n">
        <v>4</v>
      </c>
      <c r="E20" s="14">
        <f>IF(Cover!$C$9="Downside",D20,C20)</f>
        <v/>
      </c>
    </row>
    <row r="21">
      <c r="B21" t="inlineStr">
        <is>
          <t>EV haircut</t>
        </is>
      </c>
      <c r="C21" s="11" t="n">
        <v>0.2</v>
      </c>
      <c r="D21" s="11" t="n">
        <v>0.35</v>
      </c>
      <c r="E21" s="12">
        <f>IF(Cover!$C$9="Downside",D21,C21)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2" ht="28" customHeight="1">
      <c r="B2" s="1" t="inlineStr">
        <is>
          <t>Current Capital Structure</t>
        </is>
      </c>
    </row>
    <row r="4">
      <c r="B4" s="8" t="inlineStr">
        <is>
          <t>Instrument</t>
        </is>
      </c>
      <c r="C4" s="8" t="inlineStr">
        <is>
          <t>Balance</t>
        </is>
      </c>
      <c r="D4" s="8" t="inlineStr">
        <is>
          <t>Rate</t>
        </is>
      </c>
      <c r="E4" s="8" t="inlineStr">
        <is>
          <t>Annual interest</t>
        </is>
      </c>
      <c r="F4" s="8" t="inlineStr">
        <is>
          <t>Seniority</t>
        </is>
      </c>
      <c r="G4" s="8" t="inlineStr">
        <is>
          <t>Secured?</t>
        </is>
      </c>
    </row>
    <row r="5">
      <c r="B5" t="inlineStr">
        <is>
          <t>Revolver</t>
        </is>
      </c>
      <c r="C5" s="15">
        <f>Assumptions!E7</f>
        <v/>
      </c>
      <c r="D5" s="16">
        <f>Assumptions!E12</f>
        <v/>
      </c>
      <c r="E5" s="15">
        <f>C5*D5</f>
        <v/>
      </c>
      <c r="F5" t="inlineStr">
        <is>
          <t>1</t>
        </is>
      </c>
      <c r="G5" t="inlineStr">
        <is>
          <t>Yes</t>
        </is>
      </c>
    </row>
    <row r="6">
      <c r="B6" t="inlineStr">
        <is>
          <t>Term loan</t>
        </is>
      </c>
      <c r="C6" s="15">
        <f>Assumptions!E8</f>
        <v/>
      </c>
      <c r="D6" s="16">
        <f>Assumptions!E11+Assumptions!E13</f>
        <v/>
      </c>
      <c r="E6" s="15">
        <f>C6*D6</f>
        <v/>
      </c>
      <c r="F6" t="inlineStr">
        <is>
          <t>2</t>
        </is>
      </c>
      <c r="G6" t="inlineStr">
        <is>
          <t>Yes</t>
        </is>
      </c>
    </row>
    <row r="7">
      <c r="B7" t="inlineStr">
        <is>
          <t>Senior notes</t>
        </is>
      </c>
      <c r="C7" s="15">
        <f>Assumptions!E9</f>
        <v/>
      </c>
      <c r="D7" s="16">
        <f>Assumptions!E14</f>
        <v/>
      </c>
      <c r="E7" s="15">
        <f>C7*D7</f>
        <v/>
      </c>
      <c r="F7" t="inlineStr">
        <is>
          <t>3</t>
        </is>
      </c>
      <c r="G7" t="inlineStr">
        <is>
          <t>No</t>
        </is>
      </c>
    </row>
    <row r="8">
      <c r="B8" t="inlineStr">
        <is>
          <t>Other debt</t>
        </is>
      </c>
      <c r="C8" s="15">
        <f>Assumptions!E10</f>
        <v/>
      </c>
      <c r="D8" s="16">
        <f>Assumptions!E14</f>
        <v/>
      </c>
      <c r="E8" s="15">
        <f>C8*D8</f>
        <v/>
      </c>
      <c r="F8" t="inlineStr">
        <is>
          <t>4</t>
        </is>
      </c>
      <c r="G8" t="inlineStr">
        <is>
          <t>Varies</t>
        </is>
      </c>
    </row>
    <row r="10">
      <c r="B10" s="17" t="inlineStr">
        <is>
          <t>Gross debt</t>
        </is>
      </c>
      <c r="C10" s="18">
        <f>SUM(C5:C8)</f>
        <v/>
      </c>
    </row>
    <row r="11">
      <c r="B11" s="17" t="inlineStr">
        <is>
          <t>Net debt</t>
        </is>
      </c>
      <c r="C11" s="18">
        <f>C10-Assumptions!E6</f>
        <v/>
      </c>
    </row>
    <row r="12">
      <c r="B12" s="17" t="inlineStr">
        <is>
          <t>Cash interest</t>
        </is>
      </c>
      <c r="C12" s="18">
        <f>SUM(E5:E8)</f>
        <v/>
      </c>
    </row>
    <row r="13">
      <c r="B13" s="17" t="inlineStr">
        <is>
          <t>Gross leverage</t>
        </is>
      </c>
      <c r="C13" s="19">
        <f>IFERROR(C10/Assumptions!E5,0)</f>
        <v/>
      </c>
    </row>
    <row r="14">
      <c r="B14" s="17" t="inlineStr">
        <is>
          <t>Net leverage</t>
        </is>
      </c>
      <c r="C14" s="19">
        <f>IFERROR(C11/Assumptions!E5,0)</f>
        <v/>
      </c>
    </row>
    <row r="15">
      <c r="B15" s="17" t="inlineStr">
        <is>
          <t>Interest coverage</t>
        </is>
      </c>
      <c r="C15" s="19">
        <f>IFERROR(Assumptions!E5/C12,0)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Contractual Maturity Ladder</t>
        </is>
      </c>
    </row>
    <row r="4">
      <c r="B4" s="8" t="inlineStr">
        <is>
          <t>Instrument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Beyond</t>
        </is>
      </c>
    </row>
    <row r="5">
      <c r="B5" t="inlineStr">
        <is>
          <t>Revolver</t>
        </is>
      </c>
      <c r="C5" s="9" t="n">
        <v>0</v>
      </c>
      <c r="D5" s="9" t="n">
        <v>0</v>
      </c>
      <c r="E5" s="9" t="n">
        <v>25</v>
      </c>
      <c r="F5" s="9" t="n">
        <v>0</v>
      </c>
      <c r="G5" s="9" t="n">
        <v>0</v>
      </c>
      <c r="H5" s="9" t="n">
        <v>0</v>
      </c>
    </row>
    <row r="6">
      <c r="B6" t="inlineStr">
        <is>
          <t>Term loan</t>
        </is>
      </c>
      <c r="C6" s="9" t="n">
        <v>3</v>
      </c>
      <c r="D6" s="9" t="n">
        <v>3</v>
      </c>
      <c r="E6" s="9" t="n">
        <v>3</v>
      </c>
      <c r="F6" s="9" t="n">
        <v>3</v>
      </c>
      <c r="G6" s="9" t="n">
        <v>288</v>
      </c>
      <c r="H6" s="9" t="n">
        <v>0</v>
      </c>
    </row>
    <row r="7">
      <c r="B7" t="inlineStr">
        <is>
          <t>Senior notes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250</v>
      </c>
    </row>
    <row r="8">
      <c r="B8" t="inlineStr">
        <is>
          <t>Other debt</t>
        </is>
      </c>
      <c r="C8" s="9" t="n">
        <v>10</v>
      </c>
      <c r="D8" s="9" t="n">
        <v>10</v>
      </c>
      <c r="E8" s="9" t="n">
        <v>10</v>
      </c>
      <c r="F8" s="9" t="n">
        <v>10</v>
      </c>
      <c r="G8" s="9" t="n">
        <v>10</v>
      </c>
      <c r="H8" s="9" t="n">
        <v>0</v>
      </c>
    </row>
    <row r="10">
      <c r="B10" s="17" t="inlineStr">
        <is>
          <t>Total maturities</t>
        </is>
      </c>
      <c r="C10" s="18">
        <f>SUM(C5:C8)</f>
        <v/>
      </c>
      <c r="D10" s="18">
        <f>SUM(D5:D8)</f>
        <v/>
      </c>
      <c r="E10" s="18">
        <f>SUM(E5:E8)</f>
        <v/>
      </c>
      <c r="F10" s="18">
        <f>SUM(F5:F8)</f>
        <v/>
      </c>
      <c r="G10" s="18">
        <f>SUM(G5:G8)</f>
        <v/>
      </c>
      <c r="H10" s="18">
        <f>SUM(H5:H8)</f>
        <v/>
      </c>
    </row>
    <row r="12">
      <c r="B12" t="inlineStr">
        <is>
          <t>Cumulative maturities / gross debt</t>
        </is>
      </c>
      <c r="C12" s="16">
        <f>IFERROR(SUM($C$10:C10)/'Capital Structure'!$C$10,0)</f>
        <v/>
      </c>
      <c r="D12" s="16">
        <f>IFERROR(SUM($C$10:D10)/'Capital Structure'!$C$10,0)</f>
        <v/>
      </c>
      <c r="E12" s="16">
        <f>IFERROR(SUM($C$10:E10)/'Capital Structure'!$C$10,0)</f>
        <v/>
      </c>
      <c r="F12" s="16">
        <f>IFERROR(SUM($C$10:F10)/'Capital Structure'!$C$10,0)</f>
        <v/>
      </c>
      <c r="G12" s="16">
        <f>IFERROR(SUM($C$10:G10)/'Capital Structure'!$C$10,0)</f>
        <v/>
      </c>
      <c r="H12" s="16">
        <f>IFERROR(SUM($C$10:H10)/'Capital Structure'!$C$10,0)</f>
        <v/>
      </c>
    </row>
    <row r="15">
      <c r="B15" t="inlineStr">
        <is>
          <t>Near-term maturities (Years 1-2)</t>
        </is>
      </c>
      <c r="C15" s="26">
        <f>SUM(C10:D10)</f>
        <v/>
      </c>
    </row>
    <row r="16">
      <c r="B16" t="inlineStr">
        <is>
          <t>Available cash and committed lines</t>
        </is>
      </c>
      <c r="C16" s="27" t="n">
        <v>150</v>
      </c>
    </row>
    <row r="17">
      <c r="B17" t="inlineStr">
        <is>
          <t>Refinancing gap</t>
        </is>
      </c>
      <c r="C17" s="26">
        <f>MAX(0,C15-C16)</f>
        <v/>
      </c>
    </row>
    <row r="18">
      <c r="B18" t="inlineStr">
        <is>
          <t>Largest maturity / total</t>
        </is>
      </c>
      <c r="C18" s="28">
        <f>IFERROR(MAX(C10:H10)/SUM(C10:H10),0)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26" customWidth="1" min="4" max="4"/>
    <col width="16" customWidth="1" min="5" max="5"/>
    <col width="20" customWidth="1" min="6" max="6"/>
    <col width="14" customWidth="1" min="7" max="7"/>
  </cols>
  <sheetData>
    <row r="2" ht="28" customHeight="1">
      <c r="B2" s="1" t="inlineStr">
        <is>
          <t>Refinancing Sources &amp; Uses</t>
        </is>
      </c>
    </row>
    <row r="4">
      <c r="B4" s="8" t="inlineStr">
        <is>
          <t>Uses</t>
        </is>
      </c>
      <c r="C4" s="8" t="inlineStr">
        <is>
          <t>Amount</t>
        </is>
      </c>
      <c r="D4" s="8" t="inlineStr">
        <is>
          <t>Sources</t>
        </is>
      </c>
      <c r="E4" s="8" t="inlineStr">
        <is>
          <t>Amount</t>
        </is>
      </c>
      <c r="F4" s="8" t="inlineStr">
        <is>
          <t>Pricing / note</t>
        </is>
      </c>
      <c r="G4" s="8" t="inlineStr">
        <is>
          <t>Status</t>
        </is>
      </c>
    </row>
    <row r="5">
      <c r="B5" t="inlineStr">
        <is>
          <t>Refinance current debt</t>
        </is>
      </c>
      <c r="C5" s="15">
        <f>'Capital Structure'!C10</f>
        <v/>
      </c>
      <c r="D5" t="inlineStr">
        <is>
          <t>New term debt</t>
        </is>
      </c>
      <c r="E5" s="15">
        <f>MIN(MAX(0,C8-E6),Assumptions!E18*Assumptions!E5)</f>
        <v/>
      </c>
      <c r="F5" s="20">
        <f>Assumptions!E15+Assumptions!E16/7</f>
        <v/>
      </c>
    </row>
    <row r="6">
      <c r="B6" t="inlineStr">
        <is>
          <t>Minimum cash funding</t>
        </is>
      </c>
      <c r="C6" s="15">
        <f>MAX(0,Assumptions!E17-Assumptions!E6)</f>
        <v/>
      </c>
      <c r="D6" t="inlineStr">
        <is>
          <t>Existing cash</t>
        </is>
      </c>
      <c r="E6" s="15">
        <f>MIN(MAX(0,Assumptions!E6-Assumptions!E17),C8)</f>
        <v/>
      </c>
    </row>
    <row r="7">
      <c r="B7" t="inlineStr">
        <is>
          <t>Fees / OID</t>
        </is>
      </c>
      <c r="C7" s="15">
        <f>C5*Assumptions!E16</f>
        <v/>
      </c>
      <c r="D7" t="inlineStr">
        <is>
          <t>Equity / other</t>
        </is>
      </c>
      <c r="E7" s="15">
        <f>MAX(0,C8-E5-E6)</f>
        <v/>
      </c>
    </row>
    <row r="8">
      <c r="B8" t="inlineStr">
        <is>
          <t>Total uses</t>
        </is>
      </c>
      <c r="C8" s="15">
        <f>SUM(C5:C7)</f>
        <v/>
      </c>
      <c r="D8" t="inlineStr">
        <is>
          <t>Total sources</t>
        </is>
      </c>
      <c r="E8" s="15">
        <f>SUM(E5:E7)</f>
        <v/>
      </c>
      <c r="G8">
        <f>IF(ABS(C8-E8)&lt;0.01,"PASS","FAIL")</f>
        <v/>
      </c>
    </row>
    <row r="10">
      <c r="B10" t="inlineStr">
        <is>
          <t>Pro forma gross leverage</t>
        </is>
      </c>
      <c r="C10" s="21">
        <f>IFERROR(E5/Assumptions!E5,0)</f>
        <v/>
      </c>
    </row>
    <row r="11">
      <c r="B11" t="inlineStr">
        <is>
          <t>Pro forma annual cash interest</t>
        </is>
      </c>
      <c r="C11" s="15">
        <f>E5*F5</f>
        <v/>
      </c>
    </row>
    <row r="12">
      <c r="B12" t="inlineStr">
        <is>
          <t>Pro forma interest coverage</t>
        </is>
      </c>
      <c r="C12" s="21">
        <f>IFERROR(Assumptions!E5/C11,0)</f>
        <v/>
      </c>
    </row>
  </sheetData>
  <mergeCells count="1">
    <mergeCell ref="B2:G2"/>
  </mergeCells>
  <conditionalFormatting sqref="G8">
    <cfRule type="expression" priority="1" dxfId="0">
      <formula>G8="PASS"</formula>
    </cfRule>
    <cfRule type="expression" priority="2" dxfId="1">
      <formula>G8="FAIL"</formula>
    </cfRule>
    <cfRule type="expression" priority="3" dxfId="2">
      <formula>G8="REVIEW"</formula>
    </cfRule>
    <cfRule type="expression" priority="4" dxfId="1">
      <formula>G8="BREACH"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Interest Rate &amp; Spread Sensitivity</t>
        </is>
      </c>
    </row>
    <row r="4">
      <c r="B4" s="8" t="inlineStr">
        <is>
          <t>Base-rate shock / spread shock</t>
        </is>
      </c>
      <c r="C4" s="22" t="n">
        <v>-100</v>
      </c>
      <c r="D4" s="22" t="n">
        <v>0</v>
      </c>
      <c r="E4" s="22" t="n">
        <v>100</v>
      </c>
      <c r="F4" s="22" t="n">
        <v>200</v>
      </c>
      <c r="G4" s="22" t="n">
        <v>300</v>
      </c>
    </row>
    <row r="5">
      <c r="B5" s="23" t="n">
        <v>-100</v>
      </c>
      <c r="C5" s="15">
        <f>'Capital Structure'!$C$5*MAX(0,Assumptions!$E$11+Assumptions!$E$12+($B5+C$4)/10000)+'Capital Structure'!$C$6*MAX(0,Assumptions!$E$11+Assumptions!$E$13+($B5+C$4)/10000)+'Capital Structure'!$E$7+'Capital Structure'!$E$8</f>
        <v/>
      </c>
      <c r="D5" s="15">
        <f>'Capital Structure'!$C$5*MAX(0,Assumptions!$E$11+Assumptions!$E$12+($B5+D$4)/10000)+'Capital Structure'!$C$6*MAX(0,Assumptions!$E$11+Assumptions!$E$13+($B5+D$4)/10000)+'Capital Structure'!$E$7+'Capital Structure'!$E$8</f>
        <v/>
      </c>
      <c r="E5" s="15">
        <f>'Capital Structure'!$C$5*MAX(0,Assumptions!$E$11+Assumptions!$E$12+($B5+E$4)/10000)+'Capital Structure'!$C$6*MAX(0,Assumptions!$E$11+Assumptions!$E$13+($B5+E$4)/10000)+'Capital Structure'!$E$7+'Capital Structure'!$E$8</f>
        <v/>
      </c>
      <c r="F5" s="15">
        <f>'Capital Structure'!$C$5*MAX(0,Assumptions!$E$11+Assumptions!$E$12+($B5+F$4)/10000)+'Capital Structure'!$C$6*MAX(0,Assumptions!$E$11+Assumptions!$E$13+($B5+F$4)/10000)+'Capital Structure'!$E$7+'Capital Structure'!$E$8</f>
        <v/>
      </c>
      <c r="G5" s="15">
        <f>'Capital Structure'!$C$5*MAX(0,Assumptions!$E$11+Assumptions!$E$12+($B5+G$4)/10000)+'Capital Structure'!$C$6*MAX(0,Assumptions!$E$11+Assumptions!$E$13+($B5+G$4)/10000)+'Capital Structure'!$E$7+'Capital Structure'!$E$8</f>
        <v/>
      </c>
    </row>
    <row r="6">
      <c r="B6" s="23" t="n">
        <v>0</v>
      </c>
      <c r="C6" s="15">
        <f>'Capital Structure'!$C$5*MAX(0,Assumptions!$E$11+Assumptions!$E$12+($B6+C$4)/10000)+'Capital Structure'!$C$6*MAX(0,Assumptions!$E$11+Assumptions!$E$13+($B6+C$4)/10000)+'Capital Structure'!$E$7+'Capital Structure'!$E$8</f>
        <v/>
      </c>
      <c r="D6" s="15">
        <f>'Capital Structure'!$C$5*MAX(0,Assumptions!$E$11+Assumptions!$E$12+($B6+D$4)/10000)+'Capital Structure'!$C$6*MAX(0,Assumptions!$E$11+Assumptions!$E$13+($B6+D$4)/10000)+'Capital Structure'!$E$7+'Capital Structure'!$E$8</f>
        <v/>
      </c>
      <c r="E6" s="15">
        <f>'Capital Structure'!$C$5*MAX(0,Assumptions!$E$11+Assumptions!$E$12+($B6+E$4)/10000)+'Capital Structure'!$C$6*MAX(0,Assumptions!$E$11+Assumptions!$E$13+($B6+E$4)/10000)+'Capital Structure'!$E$7+'Capital Structure'!$E$8</f>
        <v/>
      </c>
      <c r="F6" s="15">
        <f>'Capital Structure'!$C$5*MAX(0,Assumptions!$E$11+Assumptions!$E$12+($B6+F$4)/10000)+'Capital Structure'!$C$6*MAX(0,Assumptions!$E$11+Assumptions!$E$13+($B6+F$4)/10000)+'Capital Structure'!$E$7+'Capital Structure'!$E$8</f>
        <v/>
      </c>
      <c r="G6" s="15">
        <f>'Capital Structure'!$C$5*MAX(0,Assumptions!$E$11+Assumptions!$E$12+($B6+G$4)/10000)+'Capital Structure'!$C$6*MAX(0,Assumptions!$E$11+Assumptions!$E$13+($B6+G$4)/10000)+'Capital Structure'!$E$7+'Capital Structure'!$E$8</f>
        <v/>
      </c>
    </row>
    <row r="7">
      <c r="B7" s="23" t="n">
        <v>100</v>
      </c>
      <c r="C7" s="15">
        <f>'Capital Structure'!$C$5*MAX(0,Assumptions!$E$11+Assumptions!$E$12+($B7+C$4)/10000)+'Capital Structure'!$C$6*MAX(0,Assumptions!$E$11+Assumptions!$E$13+($B7+C$4)/10000)+'Capital Structure'!$E$7+'Capital Structure'!$E$8</f>
        <v/>
      </c>
      <c r="D7" s="15">
        <f>'Capital Structure'!$C$5*MAX(0,Assumptions!$E$11+Assumptions!$E$12+($B7+D$4)/10000)+'Capital Structure'!$C$6*MAX(0,Assumptions!$E$11+Assumptions!$E$13+($B7+D$4)/10000)+'Capital Structure'!$E$7+'Capital Structure'!$E$8</f>
        <v/>
      </c>
      <c r="E7" s="15">
        <f>'Capital Structure'!$C$5*MAX(0,Assumptions!$E$11+Assumptions!$E$12+($B7+E$4)/10000)+'Capital Structure'!$C$6*MAX(0,Assumptions!$E$11+Assumptions!$E$13+($B7+E$4)/10000)+'Capital Structure'!$E$7+'Capital Structure'!$E$8</f>
        <v/>
      </c>
      <c r="F7" s="15">
        <f>'Capital Structure'!$C$5*MAX(0,Assumptions!$E$11+Assumptions!$E$12+($B7+F$4)/10000)+'Capital Structure'!$C$6*MAX(0,Assumptions!$E$11+Assumptions!$E$13+($B7+F$4)/10000)+'Capital Structure'!$E$7+'Capital Structure'!$E$8</f>
        <v/>
      </c>
      <c r="G7" s="15">
        <f>'Capital Structure'!$C$5*MAX(0,Assumptions!$E$11+Assumptions!$E$12+($B7+G$4)/10000)+'Capital Structure'!$C$6*MAX(0,Assumptions!$E$11+Assumptions!$E$13+($B7+G$4)/10000)+'Capital Structure'!$E$7+'Capital Structure'!$E$8</f>
        <v/>
      </c>
    </row>
    <row r="8">
      <c r="B8" s="23" t="n">
        <v>200</v>
      </c>
      <c r="C8" s="15">
        <f>'Capital Structure'!$C$5*MAX(0,Assumptions!$E$11+Assumptions!$E$12+($B8+C$4)/10000)+'Capital Structure'!$C$6*MAX(0,Assumptions!$E$11+Assumptions!$E$13+($B8+C$4)/10000)+'Capital Structure'!$E$7+'Capital Structure'!$E$8</f>
        <v/>
      </c>
      <c r="D8" s="15">
        <f>'Capital Structure'!$C$5*MAX(0,Assumptions!$E$11+Assumptions!$E$12+($B8+D$4)/10000)+'Capital Structure'!$C$6*MAX(0,Assumptions!$E$11+Assumptions!$E$13+($B8+D$4)/10000)+'Capital Structure'!$E$7+'Capital Structure'!$E$8</f>
        <v/>
      </c>
      <c r="E8" s="15">
        <f>'Capital Structure'!$C$5*MAX(0,Assumptions!$E$11+Assumptions!$E$12+($B8+E$4)/10000)+'Capital Structure'!$C$6*MAX(0,Assumptions!$E$11+Assumptions!$E$13+($B8+E$4)/10000)+'Capital Structure'!$E$7+'Capital Structure'!$E$8</f>
        <v/>
      </c>
      <c r="F8" s="15">
        <f>'Capital Structure'!$C$5*MAX(0,Assumptions!$E$11+Assumptions!$E$12+($B8+F$4)/10000)+'Capital Structure'!$C$6*MAX(0,Assumptions!$E$11+Assumptions!$E$13+($B8+F$4)/10000)+'Capital Structure'!$E$7+'Capital Structure'!$E$8</f>
        <v/>
      </c>
      <c r="G8" s="15">
        <f>'Capital Structure'!$C$5*MAX(0,Assumptions!$E$11+Assumptions!$E$12+($B8+G$4)/10000)+'Capital Structure'!$C$6*MAX(0,Assumptions!$E$11+Assumptions!$E$13+($B8+G$4)/10000)+'Capital Structure'!$E$7+'Capital Structure'!$E$8</f>
        <v/>
      </c>
    </row>
    <row r="9">
      <c r="B9" s="23" t="n">
        <v>300</v>
      </c>
      <c r="C9" s="15">
        <f>'Capital Structure'!$C$5*MAX(0,Assumptions!$E$11+Assumptions!$E$12+($B9+C$4)/10000)+'Capital Structure'!$C$6*MAX(0,Assumptions!$E$11+Assumptions!$E$13+($B9+C$4)/10000)+'Capital Structure'!$E$7+'Capital Structure'!$E$8</f>
        <v/>
      </c>
      <c r="D9" s="15">
        <f>'Capital Structure'!$C$5*MAX(0,Assumptions!$E$11+Assumptions!$E$12+($B9+D$4)/10000)+'Capital Structure'!$C$6*MAX(0,Assumptions!$E$11+Assumptions!$E$13+($B9+D$4)/10000)+'Capital Structure'!$E$7+'Capital Structure'!$E$8</f>
        <v/>
      </c>
      <c r="E9" s="15">
        <f>'Capital Structure'!$C$5*MAX(0,Assumptions!$E$11+Assumptions!$E$12+($B9+E$4)/10000)+'Capital Structure'!$C$6*MAX(0,Assumptions!$E$11+Assumptions!$E$13+($B9+E$4)/10000)+'Capital Structure'!$E$7+'Capital Structure'!$E$8</f>
        <v/>
      </c>
      <c r="F9" s="15">
        <f>'Capital Structure'!$C$5*MAX(0,Assumptions!$E$11+Assumptions!$E$12+($B9+F$4)/10000)+'Capital Structure'!$C$6*MAX(0,Assumptions!$E$11+Assumptions!$E$13+($B9+F$4)/10000)+'Capital Structure'!$E$7+'Capital Structure'!$E$8</f>
        <v/>
      </c>
      <c r="G9" s="15">
        <f>'Capital Structure'!$C$5*MAX(0,Assumptions!$E$11+Assumptions!$E$12+($B9+G$4)/10000)+'Capital Structure'!$C$6*MAX(0,Assumptions!$E$11+Assumptions!$E$13+($B9+G$4)/10000)+'Capital Structure'!$E$7+'Capital Structure'!$E$8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22" customWidth="1" min="5" max="5"/>
  </cols>
  <sheetData>
    <row r="2" ht="28" customHeight="1">
      <c r="B2" s="1" t="inlineStr">
        <is>
          <t>Covenant &amp; Rating Screens</t>
        </is>
      </c>
    </row>
    <row r="4">
      <c r="B4" s="8" t="inlineStr">
        <is>
          <t>Metric</t>
        </is>
      </c>
      <c r="C4" s="8" t="inlineStr">
        <is>
          <t>Actual</t>
        </is>
      </c>
      <c r="D4" s="8" t="inlineStr">
        <is>
          <t>Threshold</t>
        </is>
      </c>
      <c r="E4" s="8" t="inlineStr">
        <is>
          <t>Headroom / status</t>
        </is>
      </c>
    </row>
    <row r="5">
      <c r="B5" t="inlineStr">
        <is>
          <t>Gross leverage</t>
        </is>
      </c>
      <c r="C5" s="21">
        <f>'Capital Structure'!C13</f>
        <v/>
      </c>
      <c r="D5" s="21">
        <f>Assumptions!E18</f>
        <v/>
      </c>
      <c r="E5" s="21">
        <f>D5-C5</f>
        <v/>
      </c>
    </row>
    <row r="6">
      <c r="B6" t="inlineStr">
        <is>
          <t>Interest coverage</t>
        </is>
      </c>
      <c r="C6" s="21">
        <f>'Capital Structure'!C15</f>
        <v/>
      </c>
      <c r="D6" s="21">
        <f>Assumptions!E19</f>
        <v/>
      </c>
      <c r="E6" s="21">
        <f>C6-D6</f>
        <v/>
      </c>
    </row>
    <row r="7">
      <c r="B7" t="inlineStr">
        <is>
          <t>Near-term maturities / debt</t>
        </is>
      </c>
      <c r="C7" s="16">
        <f>IFERROR(SUM('Maturity Ladder'!C10:E10)/'Capital Structure'!C10,0)</f>
        <v/>
      </c>
      <c r="D7" s="16" t="n">
        <v>0.35</v>
      </c>
      <c r="E7" s="16">
        <f>D7-C7</f>
        <v/>
      </c>
    </row>
    <row r="8">
      <c r="B8" t="inlineStr">
        <is>
          <t>Refinancing status</t>
        </is>
      </c>
      <c r="C8">
        <f>Refinancing!G8</f>
        <v/>
      </c>
      <c r="D8" t="inlineStr">
        <is>
          <t>PASS</t>
        </is>
      </c>
      <c r="E8">
        <f>IF(C8=D8,"PASS","FAIL")</f>
        <v/>
      </c>
    </row>
  </sheetData>
  <mergeCells count="1">
    <mergeCell ref="B2:E2"/>
  </mergeCells>
  <conditionalFormatting sqref="E8">
    <cfRule type="expression" priority="1" dxfId="0">
      <formula>E8="PASS"</formula>
    </cfRule>
    <cfRule type="expression" priority="2" dxfId="1">
      <formula>E8="FAIL"</formula>
    </cfRule>
    <cfRule type="expression" priority="3" dxfId="2">
      <formula>E8="REVIEW"</formula>
    </cfRule>
    <cfRule type="expression" priority="4" dxfId="1">
      <formula>E8="BREACH"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42" customWidth="1" min="5" max="5"/>
  </cols>
  <sheetData>
    <row r="2" ht="28" customHeight="1">
      <c r="B2" s="1" t="inlineStr">
        <is>
          <t>Claim Recovery Waterfall</t>
        </is>
      </c>
    </row>
    <row r="4">
      <c r="B4" s="8" t="inlineStr">
        <is>
          <t>Metric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Note</t>
        </is>
      </c>
    </row>
    <row r="5">
      <c r="B5" t="inlineStr">
        <is>
          <t>Stressed EBITDA</t>
        </is>
      </c>
      <c r="C5" s="15">
        <f>Assumptions!C5</f>
        <v/>
      </c>
      <c r="D5" s="15">
        <f>Assumptions!D5</f>
        <v/>
      </c>
    </row>
    <row r="6">
      <c r="B6" t="inlineStr">
        <is>
          <t>Recovery multiple</t>
        </is>
      </c>
      <c r="C6" s="21">
        <f>Assumptions!C20</f>
        <v/>
      </c>
      <c r="D6" s="21">
        <f>Assumptions!D20</f>
        <v/>
      </c>
    </row>
    <row r="7">
      <c r="B7" t="inlineStr">
        <is>
          <t>Enterprise value</t>
        </is>
      </c>
      <c r="C7" s="15">
        <f>C5*C6</f>
        <v/>
      </c>
      <c r="D7" s="15">
        <f>D5*D6</f>
        <v/>
      </c>
    </row>
    <row r="8">
      <c r="B8" t="inlineStr">
        <is>
          <t>EV haircut</t>
        </is>
      </c>
      <c r="C8" s="15">
        <f>C7*Assumptions!C21</f>
        <v/>
      </c>
      <c r="D8" s="15">
        <f>D7*Assumptions!D21</f>
        <v/>
      </c>
    </row>
    <row r="9">
      <c r="B9" t="inlineStr">
        <is>
          <t>Distributable value</t>
        </is>
      </c>
      <c r="C9" s="15">
        <f>C7-C8</f>
        <v/>
      </c>
      <c r="D9" s="15">
        <f>D7-D8</f>
        <v/>
      </c>
    </row>
    <row r="10">
      <c r="B10" t="inlineStr">
        <is>
          <t>Gross debt</t>
        </is>
      </c>
      <c r="C10" s="15">
        <f>'Capital Structure'!C10</f>
        <v/>
      </c>
      <c r="D10" s="15">
        <f>'Capital Structure'!C10</f>
        <v/>
      </c>
    </row>
    <row r="11">
      <c r="B11" t="inlineStr">
        <is>
          <t>Recovery value</t>
        </is>
      </c>
      <c r="C11" s="15">
        <f>MIN(C9,C10)</f>
        <v/>
      </c>
      <c r="D11" s="15">
        <f>MIN(D9,D10)</f>
        <v/>
      </c>
    </row>
    <row r="12">
      <c r="B12" t="inlineStr">
        <is>
          <t>Recovery rate</t>
        </is>
      </c>
      <c r="C12" s="16">
        <f>IFERROR(C11/C10,0)</f>
        <v/>
      </c>
      <c r="D12" s="16">
        <f>IFERROR(D11/D10,0)</f>
        <v/>
      </c>
    </row>
    <row r="13">
      <c r="B13" t="inlineStr">
        <is>
          <t>LGD</t>
        </is>
      </c>
      <c r="C13" s="16">
        <f>1-C12</f>
        <v/>
      </c>
      <c r="D13" s="16">
        <f>1-D12</f>
        <v/>
      </c>
    </row>
  </sheetData>
  <mergeCells count="1"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Sources equal uses</t>
        </is>
      </c>
      <c r="C5">
        <f>IF(Refinancing!G8="PASS","PASS","FAIL")</f>
        <v/>
      </c>
    </row>
    <row r="6">
      <c r="B6" t="inlineStr">
        <is>
          <t>Debt nonnegative</t>
        </is>
      </c>
      <c r="C6">
        <f>IF('Capital Structure'!C10&gt;=0,"PASS","FAIL")</f>
        <v/>
      </c>
    </row>
    <row r="7">
      <c r="B7" t="inlineStr">
        <is>
          <t>Maturities reconcile</t>
        </is>
      </c>
      <c r="C7">
        <f>IF(ABS(SUM('Maturity Ladder'!C10:H10)-'Capital Structure'!C10)&lt;0.01,"PASS","REVIEW")</f>
        <v/>
      </c>
    </row>
    <row r="8">
      <c r="B8" t="inlineStr">
        <is>
          <t>Recovery bounded</t>
        </is>
      </c>
      <c r="C8">
        <f>IF(AND(MIN(Recovery!C12:D12)&gt;=0,MAX(Recovery!C12:D12)&lt;=1),"PASS","FAIL")</f>
        <v/>
      </c>
    </row>
    <row r="9">
      <c r="B9" t="inlineStr">
        <is>
          <t>Refinancing funded without equity plug</t>
        </is>
      </c>
      <c r="C9">
        <f>IF(Refinancing!E7&lt;=0.01,"PASS","BREACH")</f>
        <v/>
      </c>
    </row>
    <row r="10">
      <c r="B10" t="inlineStr">
        <is>
          <t>Overall</t>
        </is>
      </c>
      <c r="C10">
        <f>IF(COUNTIF(C5:C9,"FAIL")+COUNTIF(C5:C9,"BREACH")&gt;0,"FAIL",IF(COUNTIF(C5:C9,"REVIEW")&gt;0,"REVIEW","PASS"))</f>
        <v/>
      </c>
    </row>
  </sheetData>
  <mergeCells count="1">
    <mergeCell ref="B2:C2"/>
  </mergeCells>
  <conditionalFormatting sqref="C5:C10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4" t="inlineStr">
        <is>
          <t>Debt instruments</t>
        </is>
      </c>
      <c r="C5" s="24" t="inlineStr">
        <is>
          <t>Credit agreements, indentures, or filings</t>
        </is>
      </c>
      <c r="D5" s="24" t="inlineStr">
        <is>
          <t>[date]</t>
        </is>
      </c>
      <c r="E5" s="24" t="inlineStr">
        <is>
          <t>Balance, rate, maturity, collateral and covenants</t>
        </is>
      </c>
    </row>
    <row r="6">
      <c r="B6" s="24" t="inlineStr">
        <is>
          <t>Market pricing</t>
        </is>
      </c>
      <c r="C6" s="24" t="inlineStr">
        <is>
          <t>Treasury / swap curve and comparable new issues</t>
        </is>
      </c>
      <c r="D6" s="24" t="inlineStr">
        <is>
          <t>[date]</t>
        </is>
      </c>
      <c r="E6" s="24" t="inlineStr">
        <is>
          <t>Freeze base-rate and spread assumptions</t>
        </is>
      </c>
    </row>
    <row r="7">
      <c r="B7" s="24" t="inlineStr">
        <is>
          <t>Financial statements</t>
        </is>
      </c>
      <c r="C7" s="24" t="inlineStr">
        <is>
          <t>Audited statements or filing</t>
        </is>
      </c>
      <c r="D7" s="24" t="inlineStr">
        <is>
          <t>[period]</t>
        </is>
      </c>
      <c r="E7" s="24" t="inlineStr">
        <is>
          <t>EBITDA, cash and debt reconciliation</t>
        </is>
      </c>
    </row>
    <row r="8">
      <c r="B8" s="24" t="inlineStr">
        <is>
          <t>Recovery methodology</t>
        </is>
      </c>
      <c r="C8" s="24" t="inlineStr">
        <is>
          <t>Documented enterprise-value and priority assumptions</t>
        </is>
      </c>
      <c r="D8" s="24" t="inlineStr">
        <is>
          <t>[date]</t>
        </is>
      </c>
      <c r="E8" s="24" t="inlineStr">
        <is>
          <t>Claim-level recovery bridge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5" t="n"/>
      <c r="C5" s="25" t="n"/>
      <c r="D5" s="25" t="n"/>
      <c r="E5" s="25" t="n"/>
      <c r="F5" s="25" t="n"/>
      <c r="G5" s="25" t="n"/>
    </row>
    <row r="6">
      <c r="B6" s="25" t="n"/>
      <c r="C6" s="25" t="n"/>
      <c r="D6" s="25" t="n"/>
      <c r="E6" s="25" t="n"/>
      <c r="F6" s="25" t="n"/>
      <c r="G6" s="25" t="n"/>
    </row>
    <row r="7">
      <c r="B7" s="25" t="n"/>
      <c r="C7" s="25" t="n"/>
      <c r="D7" s="25" t="n"/>
      <c r="E7" s="25" t="n"/>
      <c r="F7" s="25" t="n"/>
      <c r="G7" s="25" t="n"/>
    </row>
    <row r="8">
      <c r="B8" s="25" t="n"/>
      <c r="C8" s="25" t="n"/>
      <c r="D8" s="25" t="n"/>
      <c r="E8" s="25" t="n"/>
      <c r="F8" s="25" t="n"/>
      <c r="G8" s="25" t="n"/>
    </row>
    <row r="9">
      <c r="B9" s="25" t="n"/>
      <c r="C9" s="25" t="n"/>
      <c r="D9" s="25" t="n"/>
      <c r="E9" s="25" t="n"/>
      <c r="F9" s="25" t="n"/>
      <c r="G9" s="25" t="n"/>
    </row>
    <row r="10">
      <c r="B10" s="25" t="n"/>
      <c r="C10" s="25" t="n"/>
      <c r="D10" s="25" t="n"/>
      <c r="E10" s="25" t="n"/>
      <c r="F10" s="25" t="n"/>
      <c r="G10" s="25" t="n"/>
    </row>
    <row r="11">
      <c r="B11" s="25" t="n"/>
      <c r="C11" s="25" t="n"/>
      <c r="D11" s="25" t="n"/>
      <c r="E11" s="25" t="n"/>
      <c r="F11" s="25" t="n"/>
      <c r="G11" s="25" t="n"/>
    </row>
    <row r="12">
      <c r="B12" s="25" t="n"/>
      <c r="C12" s="25" t="n"/>
      <c r="D12" s="25" t="n"/>
      <c r="E12" s="25" t="n"/>
      <c r="F12" s="25" t="n"/>
      <c r="G12" s="25" t="n"/>
    </row>
    <row r="13">
      <c r="B13" s="25" t="n"/>
      <c r="C13" s="25" t="n"/>
      <c r="D13" s="25" t="n"/>
      <c r="E13" s="25" t="n"/>
      <c r="F13" s="25" t="n"/>
      <c r="G13" s="25" t="n"/>
    </row>
    <row r="14">
      <c r="B14" s="25" t="n"/>
      <c r="C14" s="25" t="n"/>
      <c r="D14" s="25" t="n"/>
      <c r="E14" s="25" t="n"/>
      <c r="F14" s="25" t="n"/>
      <c r="G14" s="25" t="n"/>
    </row>
    <row r="15">
      <c r="B15" s="25" t="n"/>
      <c r="C15" s="25" t="n"/>
      <c r="D15" s="25" t="n"/>
      <c r="E15" s="25" t="n"/>
      <c r="F15" s="25" t="n"/>
      <c r="G15" s="25" t="n"/>
    </row>
    <row r="16">
      <c r="B16" s="25" t="n"/>
      <c r="C16" s="25" t="n"/>
      <c r="D16" s="25" t="n"/>
      <c r="E16" s="25" t="n"/>
      <c r="F16" s="25" t="n"/>
      <c r="G16" s="25" t="n"/>
    </row>
    <row r="17">
      <c r="B17" s="25" t="n"/>
      <c r="C17" s="25" t="n"/>
      <c r="D17" s="25" t="n"/>
      <c r="E17" s="25" t="n"/>
      <c r="F17" s="25" t="n"/>
      <c r="G17" s="25" t="n"/>
    </row>
    <row r="18">
      <c r="B18" s="25" t="n"/>
      <c r="C18" s="25" t="n"/>
      <c r="D18" s="25" t="n"/>
      <c r="E18" s="25" t="n"/>
      <c r="F18" s="25" t="n"/>
      <c r="G18" s="25" t="n"/>
    </row>
    <row r="19">
      <c r="B19" s="25" t="n"/>
      <c r="C19" s="25" t="n"/>
      <c r="D19" s="25" t="n"/>
      <c r="E19" s="25" t="n"/>
      <c r="F19" s="25" t="n"/>
      <c r="G19" s="25" t="n"/>
    </row>
    <row r="20">
      <c r="B20" s="25" t="n"/>
      <c r="C20" s="25" t="n"/>
      <c r="D20" s="25" t="n"/>
      <c r="E20" s="25" t="n"/>
      <c r="F20" s="25" t="n"/>
      <c r="G20" s="25" t="n"/>
    </row>
    <row r="21">
      <c r="B21" s="25" t="n"/>
      <c r="C21" s="25" t="n"/>
      <c r="D21" s="25" t="n"/>
      <c r="E21" s="25" t="n"/>
      <c r="F21" s="25" t="n"/>
      <c r="G21" s="25" t="n"/>
    </row>
    <row r="22">
      <c r="B22" s="25" t="n"/>
      <c r="C22" s="25" t="n"/>
      <c r="D22" s="25" t="n"/>
      <c r="E22" s="25" t="n"/>
      <c r="F22" s="25" t="n"/>
      <c r="G22" s="25" t="n"/>
    </row>
    <row r="23">
      <c r="B23" s="25" t="n"/>
      <c r="C23" s="25" t="n"/>
      <c r="D23" s="25" t="n"/>
      <c r="E23" s="25" t="n"/>
      <c r="F23" s="25" t="n"/>
      <c r="G23" s="25" t="n"/>
    </row>
    <row r="24">
      <c r="B24" s="25" t="n"/>
      <c r="C24" s="25" t="n"/>
      <c r="D24" s="25" t="n"/>
      <c r="E24" s="25" t="n"/>
      <c r="F24" s="25" t="n"/>
      <c r="G24" s="25" t="n"/>
    </row>
    <row r="25">
      <c r="B25" s="25" t="n"/>
      <c r="C25" s="25" t="n"/>
      <c r="D25" s="25" t="n"/>
      <c r="E25" s="25" t="n"/>
      <c r="F25" s="25" t="n"/>
      <c r="G25" s="25" t="n"/>
    </row>
    <row r="26">
      <c r="B26" s="25" t="n"/>
      <c r="C26" s="25" t="n"/>
      <c r="D26" s="25" t="n"/>
      <c r="E26" s="25" t="n"/>
      <c r="F26" s="25" t="n"/>
      <c r="G26" s="25" t="n"/>
    </row>
    <row r="27">
      <c r="B27" s="25" t="n"/>
      <c r="C27" s="25" t="n"/>
      <c r="D27" s="25" t="n"/>
      <c r="E27" s="25" t="n"/>
      <c r="F27" s="25" t="n"/>
      <c r="G27" s="25" t="n"/>
    </row>
    <row r="28">
      <c r="B28" s="25" t="n"/>
      <c r="C28" s="25" t="n"/>
      <c r="D28" s="25" t="n"/>
      <c r="E28" s="25" t="n"/>
      <c r="F28" s="25" t="n"/>
      <c r="G28" s="25" t="n"/>
    </row>
    <row r="29">
      <c r="B29" s="25" t="n"/>
      <c r="C29" s="25" t="n"/>
      <c r="D29" s="25" t="n"/>
      <c r="E29" s="25" t="n"/>
      <c r="F29" s="25" t="n"/>
      <c r="G29" s="25" t="n"/>
    </row>
  </sheetData>
  <mergeCells count="1"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29" t="inlineStr">
        <is>
          <t>Debt Rollforward, Maturity Wall, Weighted Cost, and Coverage</t>
        </is>
      </c>
    </row>
    <row r="4">
      <c r="B4" s="30" t="inlineStr">
        <is>
          <t>Metric</t>
        </is>
      </c>
      <c r="C4" s="30" t="inlineStr">
        <is>
          <t>Base</t>
        </is>
      </c>
      <c r="D4" s="30" t="inlineStr">
        <is>
          <t>Adversarial</t>
        </is>
      </c>
      <c r="E4" s="30" t="inlineStr">
        <is>
          <t>Units / control</t>
        </is>
      </c>
    </row>
    <row r="5">
      <c r="B5" t="inlineStr">
        <is>
          <t>Opening debt</t>
        </is>
      </c>
      <c r="C5" s="31" t="n">
        <v>500</v>
      </c>
      <c r="D5" s="31" t="n">
        <v>500</v>
      </c>
    </row>
    <row r="6">
      <c r="B6" t="inlineStr">
        <is>
          <t>Issuance</t>
        </is>
      </c>
      <c r="C6" s="31" t="n">
        <v>100</v>
      </c>
      <c r="D6" s="31" t="n">
        <v>300</v>
      </c>
    </row>
    <row r="7">
      <c r="B7" t="inlineStr">
        <is>
          <t>Repayments</t>
        </is>
      </c>
      <c r="C7" s="31" t="n">
        <v>150</v>
      </c>
      <c r="D7" s="31" t="n">
        <v>50</v>
      </c>
    </row>
    <row r="8">
      <c r="B8" t="inlineStr">
        <is>
          <t>Year 1 maturity</t>
        </is>
      </c>
      <c r="C8" s="31" t="n">
        <v>50</v>
      </c>
      <c r="D8" s="31" t="n">
        <v>300</v>
      </c>
    </row>
    <row r="9">
      <c r="B9" t="inlineStr">
        <is>
          <t>Year 2 maturity</t>
        </is>
      </c>
      <c r="C9" s="31" t="n">
        <v>75</v>
      </c>
      <c r="D9" s="31" t="n">
        <v>250</v>
      </c>
    </row>
    <row r="10">
      <c r="B10" t="inlineStr">
        <is>
          <t>Year 3 maturity</t>
        </is>
      </c>
      <c r="C10" s="31" t="n">
        <v>100</v>
      </c>
      <c r="D10" s="31" t="n">
        <v>100</v>
      </c>
    </row>
    <row r="11">
      <c r="B11" t="inlineStr">
        <is>
          <t>Year 4 maturity</t>
        </is>
      </c>
      <c r="C11" s="31" t="n">
        <v>100</v>
      </c>
      <c r="D11" s="31" t="n">
        <v>50</v>
      </c>
    </row>
    <row r="12">
      <c r="B12" t="inlineStr">
        <is>
          <t>Year 5 maturity</t>
        </is>
      </c>
      <c r="C12" s="31" t="n">
        <v>125</v>
      </c>
      <c r="D12" s="31" t="n">
        <v>50</v>
      </c>
    </row>
    <row r="13">
      <c r="B13" t="inlineStr">
        <is>
          <t>Liquidity</t>
        </is>
      </c>
      <c r="C13" s="31" t="n">
        <v>100</v>
      </c>
      <c r="D13" s="31" t="n">
        <v>50</v>
      </c>
    </row>
    <row r="14">
      <c r="B14" t="inlineStr">
        <is>
          <t>Committed lines</t>
        </is>
      </c>
      <c r="C14" s="31" t="n">
        <v>50</v>
      </c>
      <c r="D14" s="31" t="n">
        <v>50</v>
      </c>
    </row>
    <row r="15">
      <c r="B15" t="inlineStr">
        <is>
          <t>Tranche 1 amount</t>
        </is>
      </c>
      <c r="C15" s="31" t="n">
        <v>300</v>
      </c>
      <c r="D15" s="31" t="n">
        <v>500</v>
      </c>
    </row>
    <row r="16">
      <c r="B16" t="inlineStr">
        <is>
          <t>Tranche 1 rate</t>
        </is>
      </c>
      <c r="C16" s="32" t="n">
        <v>0.06</v>
      </c>
      <c r="D16" s="32" t="n">
        <v>0.12</v>
      </c>
    </row>
    <row r="17">
      <c r="B17" t="inlineStr">
        <is>
          <t>Tranche 2 amount</t>
        </is>
      </c>
      <c r="C17" s="31" t="n">
        <v>150</v>
      </c>
      <c r="D17" s="31" t="n">
        <v>250</v>
      </c>
    </row>
    <row r="18">
      <c r="B18" t="inlineStr">
        <is>
          <t>Tranche 2 rate</t>
        </is>
      </c>
      <c r="C18" s="32" t="n">
        <v>0.07000000000000001</v>
      </c>
      <c r="D18" s="32" t="n">
        <v>0.15</v>
      </c>
    </row>
    <row r="19">
      <c r="B19" t="inlineStr">
        <is>
          <t>EBITDA</t>
        </is>
      </c>
      <c r="C19" s="31" t="n">
        <v>150</v>
      </c>
      <c r="D19" s="31" t="n">
        <v>80</v>
      </c>
    </row>
    <row r="20">
      <c r="B20" t="inlineStr">
        <is>
          <t>Maximum maturity concentration</t>
        </is>
      </c>
      <c r="C20" s="32" t="n">
        <v>0.4</v>
      </c>
      <c r="D20" s="32" t="n">
        <v>0.35</v>
      </c>
    </row>
    <row r="21">
      <c r="B21" t="inlineStr">
        <is>
          <t>Minimum interest coverage</t>
        </is>
      </c>
      <c r="C21" s="33" t="n">
        <v>2</v>
      </c>
      <c r="D21" s="33" t="n">
        <v>2</v>
      </c>
    </row>
    <row r="22">
      <c r="B22" t="inlineStr">
        <is>
          <t>Maximum weighted cost</t>
        </is>
      </c>
      <c r="C22" s="32" t="n">
        <v>0.1</v>
      </c>
      <c r="D22" s="32" t="n">
        <v>0.1</v>
      </c>
    </row>
    <row r="26">
      <c r="B26" t="inlineStr">
        <is>
          <t>Ending debt</t>
        </is>
      </c>
      <c r="C26" s="34">
        <f>MAX(0,C5+C6-C7)</f>
        <v/>
      </c>
      <c r="D26" s="34">
        <f>MAX(0,D5+D6-D7)</f>
        <v/>
      </c>
    </row>
    <row r="27">
      <c r="B27" t="inlineStr">
        <is>
          <t>Near-term maturities</t>
        </is>
      </c>
      <c r="C27" s="34">
        <f>C8+C9</f>
        <v/>
      </c>
      <c r="D27" s="34">
        <f>D8+D9</f>
        <v/>
      </c>
    </row>
    <row r="28">
      <c r="B28" t="inlineStr">
        <is>
          <t>Refinancing gap</t>
        </is>
      </c>
      <c r="C28" s="34">
        <f>MAX(0,C27-C13-C14)</f>
        <v/>
      </c>
      <c r="D28" s="34">
        <f>MAX(0,D27-D13-D14)</f>
        <v/>
      </c>
    </row>
    <row r="29">
      <c r="B29" t="inlineStr">
        <is>
          <t>Maturity concentration</t>
        </is>
      </c>
      <c r="C29" s="35">
        <f>IFERROR(MAX(C8:C12)/SUM(C8:C12),0)</f>
        <v/>
      </c>
      <c r="D29" s="35">
        <f>IFERROR(MAX(D8:D12)/SUM(D8:D12),0)</f>
        <v/>
      </c>
    </row>
    <row r="30">
      <c r="B30" t="inlineStr">
        <is>
          <t>Weighted cost</t>
        </is>
      </c>
      <c r="C30" s="35">
        <f>IFERROR((C15*C16+C17*C18)/(C15+C17),0)</f>
        <v/>
      </c>
      <c r="D30" s="35">
        <f>IFERROR((D15*D16+D17*D18)/(D15+D17),0)</f>
        <v/>
      </c>
    </row>
    <row r="31">
      <c r="B31" t="inlineStr">
        <is>
          <t>Cash interest</t>
        </is>
      </c>
      <c r="C31" s="34">
        <f>C26*C30</f>
        <v/>
      </c>
      <c r="D31" s="34">
        <f>D26*D30</f>
        <v/>
      </c>
    </row>
    <row r="32">
      <c r="B32" t="inlineStr">
        <is>
          <t>Interest coverage</t>
        </is>
      </c>
      <c r="C32" s="36">
        <f>IFERROR(C19/C31,0)</f>
        <v/>
      </c>
      <c r="D32" s="36">
        <f>IFERROR(D19/D31,0)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29" t="inlineStr">
        <is>
          <t>Debt Finance Decision Dashboard and Independent Checks</t>
        </is>
      </c>
    </row>
    <row r="4">
      <c r="B4" s="30" t="inlineStr">
        <is>
          <t>Check / decision</t>
        </is>
      </c>
      <c r="C4" s="30" t="inlineStr">
        <is>
          <t>Metric</t>
        </is>
      </c>
      <c r="D4" s="30" t="inlineStr">
        <is>
          <t>Status</t>
        </is>
      </c>
      <c r="E4" s="30" t="inlineStr">
        <is>
          <t>Interpretation / action</t>
        </is>
      </c>
    </row>
    <row r="5">
      <c r="B5" t="inlineStr">
        <is>
          <t>Debt rollforward residual</t>
        </is>
      </c>
      <c r="C5" s="37">
        <f>'Refinancing &amp; Rates'!D26-MAX(0,'Refinancing &amp; Rates'!D5+'Refinancing &amp; Rates'!D6-'Refinancing &amp; Rates'!D7)</f>
        <v/>
      </c>
      <c r="D5" s="38">
        <f>IF(ABS(C5)&lt;0.01,"PASS","FAIL")</f>
        <v/>
      </c>
      <c r="E5" t="inlineStr">
        <is>
          <t>Debt must reconcile to issuance and repayment.</t>
        </is>
      </c>
    </row>
    <row r="6">
      <c r="B6" t="inlineStr">
        <is>
          <t>Weighted-cost residual</t>
        </is>
      </c>
      <c r="C6" s="37">
        <f>'Refinancing &amp; Rates'!D30*('Refinancing &amp; Rates'!D15+'Refinancing &amp; Rates'!D17)-('Refinancing &amp; Rates'!D15*'Refinancing &amp; Rates'!D16+'Refinancing &amp; Rates'!D17*'Refinancing &amp; Rates'!D18)</f>
        <v/>
      </c>
      <c r="D6" s="38">
        <f>IF(ABS(C6)&lt;0.01,"PASS","FAIL")</f>
        <v/>
      </c>
      <c r="E6" t="inlineStr">
        <is>
          <t>Weighted pricing must reconcile to tranche balances and rates.</t>
        </is>
      </c>
    </row>
    <row r="7">
      <c r="B7" t="inlineStr">
        <is>
          <t>Refinancing gap</t>
        </is>
      </c>
      <c r="C7" s="37">
        <f>'Refinancing &amp; Rates'!D28</f>
        <v/>
      </c>
      <c r="D7" s="38">
        <f>IF(C7=0,"PASS","BREACH")</f>
        <v/>
      </c>
      <c r="E7" t="inlineStr">
        <is>
          <t>Near-term maturities must be covered by liquidity and committed facilities.</t>
        </is>
      </c>
    </row>
    <row r="8">
      <c r="B8" t="inlineStr">
        <is>
          <t>Maturity concentration</t>
        </is>
      </c>
      <c r="C8" s="37">
        <f>'Refinancing &amp; Rates'!D29</f>
        <v/>
      </c>
      <c r="D8" s="38">
        <f>IF(C8&lt;='Refinancing &amp; Rates'!D20,"PASS","BREACH")</f>
        <v/>
      </c>
      <c r="E8" t="inlineStr">
        <is>
          <t>Escalate concentrated maturity walls.</t>
        </is>
      </c>
    </row>
    <row r="9">
      <c r="B9" t="inlineStr">
        <is>
          <t>Interest coverage</t>
        </is>
      </c>
      <c r="C9" s="37">
        <f>'Refinancing &amp; Rates'!D32</f>
        <v/>
      </c>
      <c r="D9" s="38">
        <f>IF(C9&gt;='Refinancing &amp; Rates'!D21,"PASS","BREACH")</f>
        <v/>
      </c>
      <c r="E9" t="inlineStr">
        <is>
          <t>EBITDA must cover pro forma cash interest.</t>
        </is>
      </c>
    </row>
    <row r="10">
      <c r="B10" t="inlineStr">
        <is>
          <t>Weighted refinancing cost</t>
        </is>
      </c>
      <c r="C10" s="37">
        <f>'Refinancing &amp; Rates'!D30</f>
        <v/>
      </c>
      <c r="D10" s="38">
        <f>IF(C10&lt;='Refinancing &amp; Rates'!D22,"PASS","BREACH")</f>
        <v/>
      </c>
      <c r="E10" t="inlineStr">
        <is>
          <t>Escalate expensive issuance and rate-reset risk.</t>
        </is>
      </c>
    </row>
    <row r="12">
      <c r="B12" s="39" t="inlineStr">
        <is>
          <t>Overall model status</t>
        </is>
      </c>
      <c r="C12" s="40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2026-09-01T14:18:16Z</dcterms:created>
  <dcterms:modified xmlns:dcterms="http://purl.org/dc/terms/" xmlns:xsi="http://www.w3.org/2001/XMLSchema-instance" xsi:type="dcterms:W3CDTF">2026-09-01T14:18:16Z</dcterms:modified>
</cp:coreProperties>
</file>