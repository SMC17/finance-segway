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venants" sheetId="3" state="visible" r:id="rId5"/>
    <sheet name="Debt Schedule" sheetId="4" state="visible" r:id="rId6"/>
    <sheet name="Yield &amp; Spread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<sst xmlns="http://schemas.openxmlformats.org/spreadsheetml/2006/main" count="68" uniqueCount="66">
  <si>
    <t xml:space="preserve">[BORROWER] — Private Credit / Debt Finance Model</t>
  </si>
  <si>
    <t xml:space="preserve">Borrower / issuer:</t>
  </si>
  <si>
    <t xml:space="preserve">[fill in]</t>
  </si>
  <si>
    <t xml:space="preserve">Facility type:</t>
  </si>
  <si>
    <t xml:space="preserve">[term loan B / unitranche / revolver / notes]</t>
  </si>
  <si>
    <t xml:space="preserve">Last refreshed:</t>
  </si>
  <si>
    <t xml:space="preserve">[date]</t>
  </si>
  <si>
    <t xml:space="preserve">Next covenant test date:</t>
  </si>
  <si>
    <t xml:space="preserve">Refresh cadence:</t>
  </si>
  <si>
    <t xml:space="preserve">Weekly</t>
  </si>
  <si>
    <t xml:space="preserve">Facility Assumptions</t>
  </si>
  <si>
    <t xml:space="preserve">Facility</t>
  </si>
  <si>
    <t xml:space="preserve">Facility size / committed amount ($)</t>
  </si>
  <si>
    <t xml:space="preserve">Amount drawn ($)</t>
  </si>
  <si>
    <t xml:space="preserve">Base rate (e.g. SOFR) %</t>
  </si>
  <si>
    <t xml:space="preserve">Spread (%)</t>
  </si>
  <si>
    <t xml:space="preserve">OID (price at issue, per 100)</t>
  </si>
  <si>
    <t xml:space="preserve">Maturity (yrs)</t>
  </si>
  <si>
    <t xml:space="preserve">Mandatory amortization (% of face / yr)</t>
  </si>
  <si>
    <t xml:space="preserve">Borrower financials</t>
  </si>
  <si>
    <t xml:space="preserve">EBITDA ($)</t>
  </si>
  <si>
    <t xml:space="preserve">Cash flow available for debt service (CFADS, $)</t>
  </si>
  <si>
    <t xml:space="preserve">Derived</t>
  </si>
  <si>
    <t xml:space="preserve">All-in interest rate (base + spread)</t>
  </si>
  <si>
    <t xml:space="preserve">Annual interest expense ($)</t>
  </si>
  <si>
    <t xml:space="preserve">Total debt ($, = drawn amount)</t>
  </si>
  <si>
    <t xml:space="preserve">Covenant Headroom</t>
  </si>
  <si>
    <t xml:space="preserve">Covenant</t>
  </si>
  <si>
    <t xml:space="preserve">Threshold</t>
  </si>
  <si>
    <t xml:space="preserve">Actual</t>
  </si>
  <si>
    <t xml:space="preserve">Headroom</t>
  </si>
  <si>
    <t xml:space="preserve">Note</t>
  </si>
  <si>
    <t xml:space="preserve">Max leverage (Total Debt / EBITDA)</t>
  </si>
  <si>
    <t xml:space="preserve">Lower actual is better — headroom = covenant minus actual</t>
  </si>
  <si>
    <t xml:space="preserve">Min interest coverage (EBITDA / Interest)</t>
  </si>
  <si>
    <t xml:space="preserve">Higher actual is better — headroom = actual minus covenant</t>
  </si>
  <si>
    <t xml:space="preserve">Min DSCR (CFADS / Debt Service)</t>
  </si>
  <si>
    <t xml:space="preserve">Debt service = mandatory amort + interest</t>
  </si>
  <si>
    <t xml:space="preserve">Status</t>
  </si>
  <si>
    <t xml:space="preserve">Leverage covenant</t>
  </si>
  <si>
    <t xml:space="preserve">Interest coverage covenant</t>
  </si>
  <si>
    <t xml:space="preserve">DSCR covenant</t>
  </si>
  <si>
    <t xml:space="preserve">Debt Schedule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</si>
  <si>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</si>
  <si>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</si>
  <si>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</si>
  <si>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</si>
  <si>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</si>
  <si>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</si>
  <si>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Beginning balance</t>
  </si>
  <si>
    <t xml:space="preserve">Mandatory amortization</t>
  </si>
  <si>
    <t xml:space="preserve">Cash sweep (excess CFADS, if any)</t>
  </si>
  <si>
    <t xml:space="preserve">Ending balance</t>
  </si>
  <si>
    <t xml:space="preserve">Interest expense (all-in rate x avg balance)</t>
  </si>
  <si>
    <t xml:space="preserve">Leverage (ending debt / EBITDA)</t>
  </si>
  <si>
    <t xml:space="preserve">Lender Yield (incl. OID)</t>
  </si>
  <si>
    <t xml:space="preserve">Coupon rate (base + spread, %)</t>
  </si>
  <si>
    <t xml:space="preserve">Issue price (per 100)</t>
  </si>
  <si>
    <t xml:space="preserve">Approx. yield-to-maturity</t>
  </si>
  <si>
    <t xml:space="preserve">Standard bond-math approximation: (Coupon$+(100-Price)/n)/((100+Price)/2). At par (Price=100) this collapses to the coupon rate exactly — sanity check.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</si>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</sst>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%;\(0.00%\);\-"/>
    <numFmt numFmtId="167" formatCode="0.00"/>
    <numFmt numFmtId="168" formatCode="#,##0;\(#,##0\);\-"/>
    <numFmt numFmtId="169" formatCode="0.0%;\(0.0%\);\-"/>
    <numFmt numFmtId="170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B4" s="4" t="s">
        <v>11</v>
      </c>
    </row>
    <row r="5" customFormat="false" ht="15" hidden="false" customHeight="false" outlineLevel="0" collapsed="false">
      <c r="B5" s="5" t="s">
        <v>12</v>
      </c>
      <c r="C5" s="6" t="n">
        <v>0</v>
      </c>
    </row>
    <row r="6" customFormat="false" ht="15" hidden="false" customHeight="false" outlineLevel="0" collapsed="false">
      <c r="B6" s="5" t="s">
        <v>13</v>
      </c>
      <c r="C6" s="6" t="n">
        <v>0</v>
      </c>
    </row>
    <row r="7" customFormat="false" ht="15" hidden="false" customHeight="false" outlineLevel="0" collapsed="false">
      <c r="B7" s="5" t="s">
        <v>14</v>
      </c>
      <c r="C7" s="7" t="n">
        <v>0.05</v>
      </c>
    </row>
    <row r="8" customFormat="false" ht="15" hidden="false" customHeight="false" outlineLevel="0" collapsed="false">
      <c r="B8" s="5" t="s">
        <v>15</v>
      </c>
      <c r="C8" s="7" t="n">
        <v>0.045</v>
      </c>
    </row>
    <row r="9" customFormat="false" ht="15" hidden="false" customHeight="false" outlineLevel="0" collapsed="false">
      <c r="B9" s="5" t="s">
        <v>16</v>
      </c>
      <c r="C9" s="8" t="n">
        <v>99</v>
      </c>
    </row>
    <row r="10" customFormat="false" ht="15" hidden="false" customHeight="false" outlineLevel="0" collapsed="false">
      <c r="B10" s="5" t="s">
        <v>17</v>
      </c>
      <c r="C10" s="9" t="n">
        <v>7</v>
      </c>
    </row>
    <row r="11" customFormat="false" ht="15" hidden="false" customHeight="false" outlineLevel="0" collapsed="false">
      <c r="B11" s="5" t="s">
        <v>18</v>
      </c>
      <c r="C11" s="10" t="n">
        <v>0.01</v>
      </c>
    </row>
    <row r="13" customFormat="false" ht="15" hidden="false" customHeight="false" outlineLevel="0" collapsed="false">
      <c r="B13" s="4" t="s">
        <v>19</v>
      </c>
    </row>
    <row r="14" customFormat="false" ht="15" hidden="false" customHeight="false" outlineLevel="0" collapsed="false">
      <c r="B14" s="5" t="s">
        <v>20</v>
      </c>
      <c r="C14" s="6" t="n">
        <v>0</v>
      </c>
    </row>
    <row r="15" customFormat="false" ht="15" hidden="false" customHeight="false" outlineLevel="0" collapsed="false">
      <c r="B15" s="5" t="s">
        <v>21</v>
      </c>
      <c r="C15" s="6" t="n">
        <v>0</v>
      </c>
    </row>
    <row r="18" customFormat="false" ht="15" hidden="false" customHeight="false" outlineLevel="0" collapsed="false">
      <c r="B18" s="4" t="s">
        <v>22</v>
      </c>
    </row>
    <row r="19" customFormat="false" ht="15" hidden="false" customHeight="false" outlineLevel="0" collapsed="false">
      <c r="B19" s="0" t="s">
        <v>23</v>
      </c>
      <c r="C19" s="11" t="n">
        <f aca="false">C7+C8</f>
        <v>0.095</v>
      </c>
    </row>
    <row r="20" customFormat="false" ht="15" hidden="false" customHeight="false" outlineLevel="0" collapsed="false">
      <c r="B20" s="0" t="s">
        <v>24</v>
      </c>
      <c r="C20" s="12" t="n">
        <f aca="false">C6*C19</f>
        <v>0</v>
      </c>
    </row>
    <row r="21" customFormat="false" ht="15" hidden="false" customHeight="false" outlineLevel="0" collapsed="false">
      <c r="B21" s="0" t="s">
        <v>25</v>
      </c>
      <c r="C21" s="13" t="n">
        <f aca="false">C6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5" min="3" style="0" width="14"/>
    <col collapsed="false" customWidth="true" hidden="false" outlineLevel="0" max="6" min="6" style="0" width="40"/>
  </cols>
  <sheetData>
    <row r="2" customFormat="false" ht="19.7" hidden="false" customHeight="false" outlineLevel="0" collapsed="false">
      <c r="B2" s="1" t="s">
        <v>26</v>
      </c>
    </row>
    <row r="4" customFormat="false" ht="15" hidden="false" customHeight="false" outlineLevel="0" collapsed="false">
      <c r="B4" s="14" t="s">
        <v>27</v>
      </c>
      <c r="C4" s="14" t="s">
        <v>28</v>
      </c>
      <c r="D4" s="14" t="s">
        <v>29</v>
      </c>
      <c r="E4" s="14" t="s">
        <v>30</v>
      </c>
      <c r="F4" s="14" t="s">
        <v>31</v>
      </c>
    </row>
    <row r="5" customFormat="false" ht="15" hidden="false" customHeight="false" outlineLevel="0" collapsed="false">
      <c r="B5" s="0" t="s">
        <v>32</v>
      </c>
      <c r="C5" s="15" t="n">
        <v>5</v>
      </c>
      <c r="D5" s="16" t="str">
        <f aca="false">IFERROR(Assumptions!C21/Assumptions!C14,"-")</f>
        <v>-</v>
      </c>
      <c r="E5" s="17" t="str">
        <f aca="false">IFERROR(C5-D5,"-")</f>
        <v>-</v>
      </c>
      <c r="F5" s="18" t="s">
        <v>33</v>
      </c>
    </row>
    <row r="6" customFormat="false" ht="15" hidden="false" customHeight="false" outlineLevel="0" collapsed="false">
      <c r="B6" s="0" t="s">
        <v>34</v>
      </c>
      <c r="C6" s="15" t="n">
        <v>2.5</v>
      </c>
      <c r="D6" s="16" t="str">
        <f aca="false">IFERROR(Assumptions!C14/Assumptions!C20,"-")</f>
        <v>-</v>
      </c>
      <c r="E6" s="17" t="str">
        <f aca="false">IFERROR(D6-C6,"-")</f>
        <v>-</v>
      </c>
      <c r="F6" s="18" t="s">
        <v>35</v>
      </c>
    </row>
    <row r="7" customFormat="false" ht="15" hidden="false" customHeight="false" outlineLevel="0" collapsed="false">
      <c r="B7" s="0" t="s">
        <v>36</v>
      </c>
      <c r="C7" s="15" t="n">
        <v>1.2</v>
      </c>
      <c r="D7" s="16" t="str">
        <f aca="false">IFERROR(Assumptions!C15/(Assumptions!C6*Assumptions!C9+Assumptions!C20),"-")</f>
        <v>-</v>
      </c>
      <c r="E7" s="17" t="str">
        <f aca="false">IFERROR(D7-C7,"-")</f>
        <v>-</v>
      </c>
      <c r="F7" s="18" t="s">
        <v>37</v>
      </c>
    </row>
    <row r="9" customFormat="false" ht="15" hidden="false" customHeight="false" outlineLevel="0" collapsed="false">
      <c r="B9" s="4" t="s">
        <v>38</v>
      </c>
    </row>
    <row r="10" customFormat="false" ht="15" hidden="false" customHeight="false" outlineLevel="0" collapsed="false">
      <c r="B10" s="0" t="s">
        <v>39</v>
      </c>
      <c r="C10" s="2" t="str">
        <f aca="false">IF(NOT(ISNUMBER(D5)),"-",IF(D5&lt;=C5,"PASS","BREACH"))</f>
        <v>-</v>
      </c>
    </row>
    <row r="11" customFormat="false" ht="15" hidden="false" customHeight="false" outlineLevel="0" collapsed="false">
      <c r="B11" s="0" t="s">
        <v>40</v>
      </c>
      <c r="C11" s="2" t="str">
        <f aca="false">IF(NOT(ISNUMBER(D6)),"-",IF(D6&gt;=C6,"PASS","BREACH"))</f>
        <v>-</v>
      </c>
    </row>
    <row r="12" customFormat="false" ht="15" hidden="false" customHeight="false" outlineLevel="0" collapsed="false">
      <c r="B12" s="0" t="s">
        <v>41</v>
      </c>
      <c r="C12" s="2" t="str">
        <f aca="false">IF(NOT(ISNUMBER(D7)),"-",IF(D7&gt;=C7,"PASS","BREACH"))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42</v>
      </c>
    </row>
    <row r="4" customFormat="false" ht="15" hidden="false" customHeight="false" outlineLevel="0" collapsed="false">
      <c r="C4" s="14" t="s">
        <v>43</v>
      </c>
      <c r="D4" s="14" t="s">
        <v>44</v>
      </c>
      <c r="E4" s="14" t="s">
        <v>45</v>
      </c>
      <c r="F4" s="14" t="s">
        <v>46</v>
      </c>
      <c r="G4" s="14" t="s">
        <v>47</v>
      </c>
      <c r="H4" s="14" t="s">
        <v>48</v>
      </c>
    </row>
    <row r="5" customFormat="false" ht="15" hidden="false" customHeight="false" outlineLevel="0" collapsed="false">
      <c r="B5" s="5" t="s">
        <v>49</v>
      </c>
      <c r="C5" s="13" t="n">
        <f aca="false">Assumptions!C6</f>
        <v>0</v>
      </c>
      <c r="D5" s="12" t="n">
        <f aca="false">C8</f>
        <v>0</v>
      </c>
      <c r="E5" s="12" t="n">
        <f aca="false">D8</f>
        <v>0</v>
      </c>
      <c r="F5" s="12" t="n">
        <f aca="false">E8</f>
        <v>0</v>
      </c>
      <c r="G5" s="12" t="n">
        <f aca="false">F8</f>
        <v>0</v>
      </c>
      <c r="H5" s="12" t="n">
        <f aca="false">G8</f>
        <v>0</v>
      </c>
    </row>
    <row r="6" customFormat="false" ht="15" hidden="false" customHeight="false" outlineLevel="0" collapsed="false">
      <c r="B6" s="5" t="s">
        <v>50</v>
      </c>
      <c r="C6" s="12" t="n">
        <f aca="false">Assumptions!$C$6*Assumptions!$C$9</f>
        <v>0</v>
      </c>
      <c r="D6" s="12" t="n">
        <f aca="false">Assumptions!$C$6*Assumptions!$C$9</f>
        <v>0</v>
      </c>
      <c r="E6" s="12" t="n">
        <f aca="false">Assumptions!$C$6*Assumptions!$C$9</f>
        <v>0</v>
      </c>
      <c r="F6" s="12" t="n">
        <f aca="false">Assumptions!$C$6*Assumptions!$C$9</f>
        <v>0</v>
      </c>
      <c r="G6" s="12" t="n">
        <f aca="false">Assumptions!$C$6*Assumptions!$C$9</f>
        <v>0</v>
      </c>
      <c r="H6" s="12" t="n">
        <f aca="false">Assumptions!$C$6*Assumptions!$C$9</f>
        <v>0</v>
      </c>
    </row>
    <row r="7" customFormat="false" ht="15" hidden="false" customHeight="false" outlineLevel="0" collapsed="false">
      <c r="B7" s="5" t="s">
        <v>51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</row>
    <row r="8" customFormat="false" ht="15" hidden="false" customHeight="false" outlineLevel="0" collapsed="false">
      <c r="B8" s="2" t="s">
        <v>52</v>
      </c>
      <c r="C8" s="12" t="n">
        <f aca="false">C5-C6-C7</f>
        <v>0</v>
      </c>
      <c r="D8" s="12" t="n">
        <f aca="false">D5-D6-D7</f>
        <v>0</v>
      </c>
      <c r="E8" s="12" t="n">
        <f aca="false">E5-E6-E7</f>
        <v>0</v>
      </c>
      <c r="F8" s="12" t="n">
        <f aca="false">F5-F6-F7</f>
        <v>0</v>
      </c>
      <c r="G8" s="12" t="n">
        <f aca="false">G5-G6-G7</f>
        <v>0</v>
      </c>
      <c r="H8" s="12" t="n">
        <f aca="false">H5-H6-H7</f>
        <v>0</v>
      </c>
    </row>
    <row r="9" customFormat="false" ht="15" hidden="false" customHeight="false" outlineLevel="0" collapsed="false">
      <c r="B9" s="5" t="s">
        <v>53</v>
      </c>
      <c r="C9" s="12" t="n">
        <f aca="false">AVERAGE(C5,C8)*Assumptions!$C$19</f>
        <v>0</v>
      </c>
      <c r="D9" s="12" t="n">
        <f aca="false">AVERAGE(D5,D8)*Assumptions!$C$19</f>
        <v>0</v>
      </c>
      <c r="E9" s="12" t="n">
        <f aca="false">AVERAGE(E5,E8)*Assumptions!$C$19</f>
        <v>0</v>
      </c>
      <c r="F9" s="12" t="n">
        <f aca="false">AVERAGE(F5,F8)*Assumptions!$C$19</f>
        <v>0</v>
      </c>
      <c r="G9" s="12" t="n">
        <f aca="false">AVERAGE(G5,G8)*Assumptions!$C$19</f>
        <v>0</v>
      </c>
      <c r="H9" s="12" t="n">
        <f aca="false">AVERAGE(H5,H8)*Assumptions!$C$19</f>
        <v>0</v>
      </c>
    </row>
    <row r="11" customFormat="false" ht="15" hidden="false" customHeight="false" outlineLevel="0" collapsed="false">
      <c r="B11" s="2" t="s">
        <v>54</v>
      </c>
      <c r="C11" s="19" t="str">
        <f aca="false">IFERROR(C8/Assumptions!$C$14,"-")</f>
        <v>-</v>
      </c>
      <c r="D11" s="19" t="str">
        <f aca="false">IFERROR(D8/Assumptions!$C$14,"-")</f>
        <v>-</v>
      </c>
      <c r="E11" s="19" t="str">
        <f aca="false">IFERROR(E8/Assumptions!$C$14,"-")</f>
        <v>-</v>
      </c>
      <c r="F11" s="19" t="str">
        <f aca="false">IFERROR(F8/Assumptions!$C$14,"-")</f>
        <v>-</v>
      </c>
      <c r="G11" s="19" t="str">
        <f aca="false">IFERROR(G8/Assumptions!$C$14,"-")</f>
        <v>-</v>
      </c>
      <c r="H11" s="19" t="str">
        <f aca="false">IFERROR(H8/Assumptions!$C$14,"-")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</cols>
  <sheetData>
    <row r="2" customFormat="false" ht="19.7" hidden="false" customHeight="false" outlineLevel="0" collapsed="false">
      <c r="B2" s="1" t="s">
        <v>55</v>
      </c>
    </row>
    <row r="4" customFormat="false" ht="15" hidden="false" customHeight="false" outlineLevel="0" collapsed="false">
      <c r="B4" s="0" t="s">
        <v>56</v>
      </c>
      <c r="C4" s="20" t="n">
        <f aca="false">Assumptions!C19</f>
        <v>0.095</v>
      </c>
    </row>
    <row r="5" customFormat="false" ht="15" hidden="false" customHeight="false" outlineLevel="0" collapsed="false">
      <c r="B5" s="0" t="s">
        <v>57</v>
      </c>
      <c r="C5" s="21" t="n">
        <f aca="false">Assumptions!C9</f>
        <v>99</v>
      </c>
    </row>
    <row r="6" customFormat="false" ht="15" hidden="false" customHeight="false" outlineLevel="0" collapsed="false">
      <c r="B6" s="0" t="s">
        <v>17</v>
      </c>
      <c r="C6" s="22" t="n">
        <f aca="false">Assumptions!C10</f>
        <v>7</v>
      </c>
    </row>
    <row r="8" customFormat="false" ht="15" hidden="false" customHeight="false" outlineLevel="0" collapsed="false">
      <c r="B8" s="2" t="s">
        <v>58</v>
      </c>
      <c r="C8" s="23" t="n">
        <f aca="false">IFERROR((C4*100+(100-C5)/C6)/((100+C5)/2),"-")</f>
        <v>0.0969131371141421</v>
      </c>
      <c r="D8" s="18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60</v>
      </c>
    </row>
    <row r="4" customFormat="false" ht="15" hidden="false" customHeight="false" outlineLevel="0" collapsed="false">
      <c r="B4" s="14" t="s">
        <v>61</v>
      </c>
      <c r="C4" s="14" t="s">
        <v>62</v>
      </c>
      <c r="D4" s="14" t="s">
        <v>63</v>
      </c>
      <c r="E4" s="14" t="s">
        <v>64</v>
      </c>
      <c r="F4" s="14" t="s">
        <v>65</v>
      </c>
    </row>
    <row r="5" customFormat="false" ht="15" hidden="false" customHeight="false" outlineLevel="0" collapsed="false">
      <c r="B5" s="24"/>
      <c r="C5" s="24"/>
      <c r="D5" s="24"/>
      <c r="E5" s="24"/>
      <c r="F5" s="24"/>
    </row>
    <row r="6" customFormat="false" ht="15" hidden="false" customHeight="false" outlineLevel="0" collapsed="false">
      <c r="B6" s="24"/>
      <c r="C6" s="24"/>
      <c r="D6" s="24"/>
      <c r="E6" s="24"/>
      <c r="F6" s="24"/>
    </row>
    <row r="7" customFormat="false" ht="15" hidden="false" customHeight="false" outlineLevel="0" collapsed="false">
      <c r="B7" s="24"/>
      <c r="C7" s="24"/>
      <c r="D7" s="24"/>
      <c r="E7" s="24"/>
      <c r="F7" s="24"/>
    </row>
    <row r="8" customFormat="false" ht="15" hidden="false" customHeight="false" outlineLevel="0" collapsed="false">
      <c r="B8" s="24"/>
      <c r="C8" s="24"/>
      <c r="D8" s="24"/>
      <c r="E8" s="24"/>
      <c r="F8" s="24"/>
    </row>
    <row r="9" customFormat="false" ht="15" hidden="false" customHeight="false" outlineLevel="0" collapsed="false">
      <c r="B9" s="24"/>
      <c r="C9" s="24"/>
      <c r="D9" s="24"/>
      <c r="E9" s="24"/>
      <c r="F9" s="24"/>
    </row>
    <row r="10" customFormat="false" ht="15" hidden="false" customHeight="false" outlineLevel="0" collapsed="false">
      <c r="B10" s="24"/>
      <c r="C10" s="24"/>
      <c r="D10" s="24"/>
      <c r="E10" s="24"/>
      <c r="F10" s="24"/>
    </row>
    <row r="11" customFormat="false" ht="15" hidden="false" customHeight="false" outlineLevel="0" collapsed="false">
      <c r="B11" s="24"/>
      <c r="C11" s="24"/>
      <c r="D11" s="24"/>
      <c r="E11" s="24"/>
      <c r="F11" s="24"/>
    </row>
    <row r="12" customFormat="false" ht="15" hidden="false" customHeight="false" outlineLevel="0" collapsed="false">
      <c r="B12" s="24"/>
      <c r="C12" s="24"/>
      <c r="D12" s="24"/>
      <c r="E12" s="24"/>
      <c r="F12" s="24"/>
    </row>
    <row r="13" customFormat="false" ht="15" hidden="false" customHeight="false" outlineLevel="0" collapsed="false">
      <c r="B13" s="24"/>
      <c r="C13" s="24"/>
      <c r="D13" s="24"/>
      <c r="E13" s="24"/>
      <c r="F13" s="24"/>
    </row>
    <row r="14" customFormat="false" ht="15" hidden="false" customHeight="false" outlineLevel="0" collapsed="false">
      <c r="B14" s="24"/>
      <c r="C14" s="24"/>
      <c r="D14" s="24"/>
      <c r="E14" s="24"/>
      <c r="F14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2026-08-03T22:39:22Z</dcterms:created>
  <dc:creator>openpyxl</dc:creator>
  <dc:description/>
  <dc:language>en-US</dc:language>
  <cp:lastModifiedBy/>
  <dcterms:modified xsi:type="dcterms:W3CDTF">2026-08-03T22:39:22Z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