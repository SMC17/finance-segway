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Capital Structure" sheetId="3" state="visible" r:id="rId3"/>
    <sheet name="Maturity Ladder" sheetId="4" state="visible" r:id="rId4"/>
    <sheet name="Refinancing" sheetId="5" state="visible" r:id="rId5"/>
    <sheet name="Interest Rate Risk" sheetId="6" state="visible" r:id="rId6"/>
    <sheet name="Covenants" sheetId="7" state="visible" r:id="rId7"/>
    <sheet name="Recovery" sheetId="8" state="visible" r:id="rId8"/>
    <sheet name="Checks" sheetId="9" state="visible" r:id="rId9"/>
    <sheet name="Sources" sheetId="10" state="visible" r:id="rId10"/>
    <sheet name="RefreshLog" sheetId="11" state="visible" r:id="rId1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$#,##0.0;[Red]($#,##0.0);-"/>
    <numFmt numFmtId="165" formatCode="0.0%;[Red](0.0%);-"/>
    <numFmt numFmtId="166" formatCode="0.0x;[Red](0.0x);-"/>
    <numFmt numFmtId="167" formatCode="0.00%;[Red](0.00%);-"/>
    <numFmt numFmtId="168" formatCode="0 &quot;bps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8" fillId="0" borderId="0" pivotButton="0" quotePrefix="0" xfId="0"/>
    <xf numFmtId="165" fontId="3" fillId="3" borderId="1" pivotButton="0" quotePrefix="0" xfId="0"/>
    <xf numFmtId="165" fontId="8" fillId="0" borderId="0" pivotButton="0" quotePrefix="0" xfId="0"/>
    <xf numFmtId="166" fontId="3" fillId="3" borderId="1" pivotButton="0" quotePrefix="0" xfId="0"/>
    <xf numFmtId="166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6" fontId="2" fillId="0" borderId="2" pivotButton="0" quotePrefix="0" xfId="0"/>
    <xf numFmtId="167" fontId="0" fillId="0" borderId="0" pivotButton="0" quotePrefix="0" xfId="0"/>
    <xf numFmtId="166" fontId="0" fillId="0" borderId="0" pivotButton="0" quotePrefix="0" xfId="0"/>
    <xf numFmtId="168" fontId="4" fillId="2" borderId="1" applyAlignment="1" pivotButton="0" quotePrefix="0" xfId="0">
      <alignment horizontal="center" vertical="center" wrapText="1"/>
    </xf>
    <xf numFmtId="168" fontId="0" fillId="0" borderId="0" pivotButton="0" quotePrefix="0" xfId="0"/>
    <xf numFmtId="0" fontId="3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[ISSUER] — Debt Finance &amp; Refinancing</t>
        </is>
      </c>
    </row>
    <row r="4">
      <c r="B4" s="2" t="inlineStr">
        <is>
          <t>Issuer:</t>
        </is>
      </c>
      <c r="C4" s="3" t="inlineStr">
        <is>
          <t>[Name]</t>
        </is>
      </c>
    </row>
    <row r="5">
      <c r="B5" s="2" t="inlineStr">
        <is>
          <t>Transaction:</t>
        </is>
      </c>
      <c r="C5" s="3" t="inlineStr">
        <is>
          <t>Refinancing / acquisition / general corporate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maturity / launch: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2" ht="28" customHeight="1">
      <c r="B2" s="1" t="inlineStr">
        <is>
          <t>Issuance &amp; Capital Structure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Note</t>
        </is>
      </c>
    </row>
    <row r="5">
      <c r="B5" t="inlineStr">
        <is>
          <t>EBITDA</t>
        </is>
      </c>
      <c r="C5" s="9" t="n">
        <v>120</v>
      </c>
      <c r="D5" s="9" t="n">
        <v>95</v>
      </c>
      <c r="E5" s="10">
        <f>IF(Cover!$C$9="Downside",D5,C5)</f>
        <v/>
      </c>
    </row>
    <row r="6">
      <c r="B6" t="inlineStr">
        <is>
          <t>Cash</t>
        </is>
      </c>
      <c r="C6" s="9" t="n">
        <v>40</v>
      </c>
      <c r="D6" s="9" t="n">
        <v>25</v>
      </c>
      <c r="E6" s="10">
        <f>IF(Cover!$C$9="Downside",D6,C6)</f>
        <v/>
      </c>
    </row>
    <row r="7">
      <c r="B7" t="inlineStr">
        <is>
          <t>Revolver drawn</t>
        </is>
      </c>
      <c r="C7" s="9" t="n">
        <v>25</v>
      </c>
      <c r="D7" s="9" t="n">
        <v>75</v>
      </c>
      <c r="E7" s="10">
        <f>IF(Cover!$C$9="Downside",D7,C7)</f>
        <v/>
      </c>
    </row>
    <row r="8">
      <c r="B8" t="inlineStr">
        <is>
          <t>Term loan</t>
        </is>
      </c>
      <c r="C8" s="9" t="n">
        <v>300</v>
      </c>
      <c r="D8" s="9" t="n">
        <v>300</v>
      </c>
      <c r="E8" s="10">
        <f>IF(Cover!$C$9="Downside",D8,C8)</f>
        <v/>
      </c>
    </row>
    <row r="9">
      <c r="B9" t="inlineStr">
        <is>
          <t>Senior notes</t>
        </is>
      </c>
      <c r="C9" s="9" t="n">
        <v>250</v>
      </c>
      <c r="D9" s="9" t="n">
        <v>250</v>
      </c>
      <c r="E9" s="10">
        <f>IF(Cover!$C$9="Downside",D9,C9)</f>
        <v/>
      </c>
    </row>
    <row r="10">
      <c r="B10" t="inlineStr">
        <is>
          <t>Other debt</t>
        </is>
      </c>
      <c r="C10" s="9" t="n">
        <v>50</v>
      </c>
      <c r="D10" s="9" t="n">
        <v>50</v>
      </c>
      <c r="E10" s="10">
        <f>IF(Cover!$C$9="Downside",D10,C10)</f>
        <v/>
      </c>
    </row>
    <row r="11">
      <c r="B11" t="inlineStr">
        <is>
          <t>Base rate</t>
        </is>
      </c>
      <c r="C11" s="11" t="n">
        <v>0.045</v>
      </c>
      <c r="D11" s="11" t="n">
        <v>0.06</v>
      </c>
      <c r="E11" s="12">
        <f>IF(Cover!$C$9="Downside",D11,C11)</f>
        <v/>
      </c>
    </row>
    <row r="12">
      <c r="B12" t="inlineStr">
        <is>
          <t>Revolver spread</t>
        </is>
      </c>
      <c r="C12" s="11" t="n">
        <v>0.025</v>
      </c>
      <c r="D12" s="11" t="n">
        <v>0.04</v>
      </c>
      <c r="E12" s="12">
        <f>IF(Cover!$C$9="Downside",D12,C12)</f>
        <v/>
      </c>
    </row>
    <row r="13">
      <c r="B13" t="inlineStr">
        <is>
          <t>Term loan spread</t>
        </is>
      </c>
      <c r="C13" s="11" t="n">
        <v>0.04</v>
      </c>
      <c r="D13" s="11" t="n">
        <v>0.06</v>
      </c>
      <c r="E13" s="12">
        <f>IF(Cover!$C$9="Downside",D13,C13)</f>
        <v/>
      </c>
    </row>
    <row r="14">
      <c r="B14" t="inlineStr">
        <is>
          <t>Senior notes coupon</t>
        </is>
      </c>
      <c r="C14" s="11" t="n">
        <v>0.055</v>
      </c>
      <c r="D14" s="11" t="n">
        <v>0.07000000000000001</v>
      </c>
      <c r="E14" s="12">
        <f>IF(Cover!$C$9="Downside",D14,C14)</f>
        <v/>
      </c>
    </row>
    <row r="15">
      <c r="B15" t="inlineStr">
        <is>
          <t>New issue spread</t>
        </is>
      </c>
      <c r="C15" s="11" t="n">
        <v>0.045</v>
      </c>
      <c r="D15" s="11" t="n">
        <v>0.075</v>
      </c>
      <c r="E15" s="12">
        <f>IF(Cover!$C$9="Downside",D15,C15)</f>
        <v/>
      </c>
    </row>
    <row r="16">
      <c r="B16" t="inlineStr">
        <is>
          <t>OID / fees</t>
        </is>
      </c>
      <c r="C16" s="11" t="n">
        <v>0.02</v>
      </c>
      <c r="D16" s="11" t="n">
        <v>0.03</v>
      </c>
      <c r="E16" s="12">
        <f>IF(Cover!$C$9="Downside",D16,C16)</f>
        <v/>
      </c>
    </row>
    <row r="17">
      <c r="B17" t="inlineStr">
        <is>
          <t>Minimum cash</t>
        </is>
      </c>
      <c r="C17" s="9" t="n">
        <v>25</v>
      </c>
      <c r="D17" s="9" t="n">
        <v>30</v>
      </c>
      <c r="E17" s="10">
        <f>IF(Cover!$C$9="Downside",D17,C17)</f>
        <v/>
      </c>
    </row>
    <row r="18">
      <c r="B18" t="inlineStr">
        <is>
          <t>Max leverage</t>
        </is>
      </c>
      <c r="C18" s="13" t="n">
        <v>5.5</v>
      </c>
      <c r="D18" s="13" t="n">
        <v>5</v>
      </c>
      <c r="E18" s="14">
        <f>IF(Cover!$C$9="Downside",D18,C18)</f>
        <v/>
      </c>
    </row>
    <row r="19">
      <c r="B19" t="inlineStr">
        <is>
          <t>Min interest coverage</t>
        </is>
      </c>
      <c r="C19" s="13" t="n">
        <v>2</v>
      </c>
      <c r="D19" s="13" t="n">
        <v>1.75</v>
      </c>
      <c r="E19" s="14">
        <f>IF(Cover!$C$9="Downside",D19,C19)</f>
        <v/>
      </c>
    </row>
    <row r="20">
      <c r="B20" t="inlineStr">
        <is>
          <t>Recovery multiple</t>
        </is>
      </c>
      <c r="C20" s="13" t="n">
        <v>5</v>
      </c>
      <c r="D20" s="13" t="n">
        <v>4</v>
      </c>
      <c r="E20" s="14">
        <f>IF(Cover!$C$9="Downside",D20,C20)</f>
        <v/>
      </c>
    </row>
    <row r="21">
      <c r="B21" t="inlineStr">
        <is>
          <t>EV haircut</t>
        </is>
      </c>
      <c r="C21" s="11" t="n">
        <v>0.2</v>
      </c>
      <c r="D21" s="11" t="n">
        <v>0.35</v>
      </c>
      <c r="E21" s="12">
        <f>IF(Cover!$C$9="Downside",D21,C21)</f>
        <v/>
      </c>
    </row>
  </sheetData>
  <mergeCells count="1">
    <mergeCell ref="B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4" customWidth="1" min="4" max="4"/>
    <col width="18" customWidth="1" min="5" max="5"/>
    <col width="12" customWidth="1" min="6" max="6"/>
    <col width="14" customWidth="1" min="7" max="7"/>
  </cols>
  <sheetData>
    <row r="2" ht="28" customHeight="1">
      <c r="B2" s="1" t="inlineStr">
        <is>
          <t>Current Capital Structure</t>
        </is>
      </c>
    </row>
    <row r="4">
      <c r="B4" s="8" t="inlineStr">
        <is>
          <t>Instrument</t>
        </is>
      </c>
      <c r="C4" s="8" t="inlineStr">
        <is>
          <t>Balance</t>
        </is>
      </c>
      <c r="D4" s="8" t="inlineStr">
        <is>
          <t>Rate</t>
        </is>
      </c>
      <c r="E4" s="8" t="inlineStr">
        <is>
          <t>Annual interest</t>
        </is>
      </c>
      <c r="F4" s="8" t="inlineStr">
        <is>
          <t>Seniority</t>
        </is>
      </c>
      <c r="G4" s="8" t="inlineStr">
        <is>
          <t>Secured?</t>
        </is>
      </c>
    </row>
    <row r="5">
      <c r="B5" t="inlineStr">
        <is>
          <t>Revolver</t>
        </is>
      </c>
      <c r="C5" s="15">
        <f>Assumptions!E7</f>
        <v/>
      </c>
      <c r="D5" s="16">
        <f>Assumptions!E12</f>
        <v/>
      </c>
      <c r="E5" s="15">
        <f>C5*D5</f>
        <v/>
      </c>
      <c r="F5" t="inlineStr">
        <is>
          <t>1</t>
        </is>
      </c>
      <c r="G5" t="inlineStr">
        <is>
          <t>Yes</t>
        </is>
      </c>
    </row>
    <row r="6">
      <c r="B6" t="inlineStr">
        <is>
          <t>Term loan</t>
        </is>
      </c>
      <c r="C6" s="15">
        <f>Assumptions!E8</f>
        <v/>
      </c>
      <c r="D6" s="16">
        <f>Assumptions!E11+Assumptions!E13</f>
        <v/>
      </c>
      <c r="E6" s="15">
        <f>C6*D6</f>
        <v/>
      </c>
      <c r="F6" t="inlineStr">
        <is>
          <t>2</t>
        </is>
      </c>
      <c r="G6" t="inlineStr">
        <is>
          <t>Yes</t>
        </is>
      </c>
    </row>
    <row r="7">
      <c r="B7" t="inlineStr">
        <is>
          <t>Senior notes</t>
        </is>
      </c>
      <c r="C7" s="15">
        <f>Assumptions!E9</f>
        <v/>
      </c>
      <c r="D7" s="16">
        <f>Assumptions!E14</f>
        <v/>
      </c>
      <c r="E7" s="15">
        <f>C7*D7</f>
        <v/>
      </c>
      <c r="F7" t="inlineStr">
        <is>
          <t>3</t>
        </is>
      </c>
      <c r="G7" t="inlineStr">
        <is>
          <t>No</t>
        </is>
      </c>
    </row>
    <row r="8">
      <c r="B8" t="inlineStr">
        <is>
          <t>Other debt</t>
        </is>
      </c>
      <c r="C8" s="15">
        <f>Assumptions!E10</f>
        <v/>
      </c>
      <c r="D8" s="16">
        <f>Assumptions!E14</f>
        <v/>
      </c>
      <c r="E8" s="15">
        <f>C8*D8</f>
        <v/>
      </c>
      <c r="F8" t="inlineStr">
        <is>
          <t>4</t>
        </is>
      </c>
      <c r="G8" t="inlineStr">
        <is>
          <t>Varies</t>
        </is>
      </c>
    </row>
    <row r="10">
      <c r="B10" s="17" t="inlineStr">
        <is>
          <t>Gross debt</t>
        </is>
      </c>
      <c r="C10" s="18">
        <f>SUM(C5:C8)</f>
        <v/>
      </c>
    </row>
    <row r="11">
      <c r="B11" s="17" t="inlineStr">
        <is>
          <t>Net debt</t>
        </is>
      </c>
      <c r="C11" s="18">
        <f>C10-Assumptions!E6</f>
        <v/>
      </c>
    </row>
    <row r="12">
      <c r="B12" s="17" t="inlineStr">
        <is>
          <t>Cash interest</t>
        </is>
      </c>
      <c r="C12" s="18">
        <f>SUM(E5:E8)</f>
        <v/>
      </c>
    </row>
    <row r="13">
      <c r="B13" s="17" t="inlineStr">
        <is>
          <t>Gross leverage</t>
        </is>
      </c>
      <c r="C13" s="19">
        <f>IFERROR(C10/Assumptions!E5,0)</f>
        <v/>
      </c>
    </row>
    <row r="14">
      <c r="B14" s="17" t="inlineStr">
        <is>
          <t>Net leverage</t>
        </is>
      </c>
      <c r="C14" s="19">
        <f>IFERROR(C11/Assumptions!E5,0)</f>
        <v/>
      </c>
    </row>
    <row r="15">
      <c r="B15" s="17" t="inlineStr">
        <is>
          <t>Interest coverage</t>
        </is>
      </c>
      <c r="C15" s="19">
        <f>IFERROR(Assumptions!E5/C12,0)</f>
        <v/>
      </c>
    </row>
  </sheetData>
  <mergeCells count="1">
    <mergeCell ref="B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 ht="28" customHeight="1">
      <c r="B2" s="1" t="inlineStr">
        <is>
          <t>Contractual Maturity Ladder</t>
        </is>
      </c>
    </row>
    <row r="4">
      <c r="B4" s="8" t="inlineStr">
        <is>
          <t>Instrument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  <c r="H4" s="8" t="inlineStr">
        <is>
          <t>Beyond</t>
        </is>
      </c>
    </row>
    <row r="5">
      <c r="B5" t="inlineStr">
        <is>
          <t>Revolver</t>
        </is>
      </c>
      <c r="C5" s="9" t="n">
        <v>0</v>
      </c>
      <c r="D5" s="9" t="n">
        <v>0</v>
      </c>
      <c r="E5" s="9" t="n">
        <v>25</v>
      </c>
      <c r="F5" s="9" t="n">
        <v>0</v>
      </c>
      <c r="G5" s="9" t="n">
        <v>0</v>
      </c>
      <c r="H5" s="9" t="n">
        <v>0</v>
      </c>
    </row>
    <row r="6">
      <c r="B6" t="inlineStr">
        <is>
          <t>Term loan</t>
        </is>
      </c>
      <c r="C6" s="9" t="n">
        <v>3</v>
      </c>
      <c r="D6" s="9" t="n">
        <v>3</v>
      </c>
      <c r="E6" s="9" t="n">
        <v>3</v>
      </c>
      <c r="F6" s="9" t="n">
        <v>3</v>
      </c>
      <c r="G6" s="9" t="n">
        <v>288</v>
      </c>
      <c r="H6" s="9" t="n">
        <v>0</v>
      </c>
    </row>
    <row r="7">
      <c r="B7" t="inlineStr">
        <is>
          <t>Senior notes</t>
        </is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250</v>
      </c>
    </row>
    <row r="8">
      <c r="B8" t="inlineStr">
        <is>
          <t>Other debt</t>
        </is>
      </c>
      <c r="C8" s="9" t="n">
        <v>10</v>
      </c>
      <c r="D8" s="9" t="n">
        <v>10</v>
      </c>
      <c r="E8" s="9" t="n">
        <v>10</v>
      </c>
      <c r="F8" s="9" t="n">
        <v>10</v>
      </c>
      <c r="G8" s="9" t="n">
        <v>10</v>
      </c>
      <c r="H8" s="9" t="n">
        <v>0</v>
      </c>
    </row>
    <row r="10">
      <c r="B10" s="17" t="inlineStr">
        <is>
          <t>Total maturities</t>
        </is>
      </c>
      <c r="C10" s="18">
        <f>SUM(C5:C8)</f>
        <v/>
      </c>
      <c r="D10" s="18">
        <f>SUM(D5:D8)</f>
        <v/>
      </c>
      <c r="E10" s="18">
        <f>SUM(E5:E8)</f>
        <v/>
      </c>
      <c r="F10" s="18">
        <f>SUM(F5:F8)</f>
        <v/>
      </c>
      <c r="G10" s="18">
        <f>SUM(G5:G8)</f>
        <v/>
      </c>
      <c r="H10" s="18">
        <f>SUM(H5:H8)</f>
        <v/>
      </c>
    </row>
    <row r="12">
      <c r="B12" t="inlineStr">
        <is>
          <t>Cumulative maturities / gross debt</t>
        </is>
      </c>
      <c r="C12" s="16">
        <f>IFERROR(SUM($C$10:C10)/'Capital Structure'!$C$10,0)</f>
        <v/>
      </c>
      <c r="D12" s="16">
        <f>IFERROR(SUM($C$10:D10)/'Capital Structure'!$C$10,0)</f>
        <v/>
      </c>
      <c r="E12" s="16">
        <f>IFERROR(SUM($C$10:E10)/'Capital Structure'!$C$10,0)</f>
        <v/>
      </c>
      <c r="F12" s="16">
        <f>IFERROR(SUM($C$10:F10)/'Capital Structure'!$C$10,0)</f>
        <v/>
      </c>
      <c r="G12" s="16">
        <f>IFERROR(SUM($C$10:G10)/'Capital Structure'!$C$10,0)</f>
        <v/>
      </c>
      <c r="H12" s="16">
        <f>IFERROR(SUM($C$10:H10)/'Capital Structure'!$C$10,0)</f>
        <v/>
      </c>
    </row>
  </sheetData>
  <mergeCells count="1"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26" customWidth="1" min="4" max="4"/>
    <col width="16" customWidth="1" min="5" max="5"/>
    <col width="20" customWidth="1" min="6" max="6"/>
    <col width="14" customWidth="1" min="7" max="7"/>
  </cols>
  <sheetData>
    <row r="2" ht="28" customHeight="1">
      <c r="B2" s="1" t="inlineStr">
        <is>
          <t>Refinancing Sources &amp; Uses</t>
        </is>
      </c>
    </row>
    <row r="4">
      <c r="B4" s="8" t="inlineStr">
        <is>
          <t>Uses</t>
        </is>
      </c>
      <c r="C4" s="8" t="inlineStr">
        <is>
          <t>Amount</t>
        </is>
      </c>
      <c r="D4" s="8" t="inlineStr">
        <is>
          <t>Sources</t>
        </is>
      </c>
      <c r="E4" s="8" t="inlineStr">
        <is>
          <t>Amount</t>
        </is>
      </c>
      <c r="F4" s="8" t="inlineStr">
        <is>
          <t>Pricing / note</t>
        </is>
      </c>
      <c r="G4" s="8" t="inlineStr">
        <is>
          <t>Status</t>
        </is>
      </c>
    </row>
    <row r="5">
      <c r="B5" t="inlineStr">
        <is>
          <t>Refinance current debt</t>
        </is>
      </c>
      <c r="C5" s="15">
        <f>'Capital Structure'!C10</f>
        <v/>
      </c>
      <c r="D5" t="inlineStr">
        <is>
          <t>New term debt</t>
        </is>
      </c>
      <c r="E5" s="15">
        <f>SUM(C5:C7)</f>
        <v/>
      </c>
      <c r="F5" s="20">
        <f>Assumptions!E15+Assumptions!E16/7</f>
        <v/>
      </c>
    </row>
    <row r="6">
      <c r="B6" t="inlineStr">
        <is>
          <t>Minimum cash funding</t>
        </is>
      </c>
      <c r="C6" s="15">
        <f>MAX(0,Assumptions!E17-Assumptions!E6)</f>
        <v/>
      </c>
      <c r="D6" t="inlineStr">
        <is>
          <t>Existing cash</t>
        </is>
      </c>
      <c r="E6" s="15">
        <f>MAX(0,Assumptions!E6-Assumptions!E17)</f>
        <v/>
      </c>
    </row>
    <row r="7">
      <c r="B7" t="inlineStr">
        <is>
          <t>Fees / OID</t>
        </is>
      </c>
      <c r="C7" s="15">
        <f>C5*Assumptions!E16</f>
        <v/>
      </c>
      <c r="D7" t="inlineStr">
        <is>
          <t>Equity / other</t>
        </is>
      </c>
      <c r="E7" s="15">
        <f>MAX(0,C8-E5-E6)</f>
        <v/>
      </c>
    </row>
    <row r="8">
      <c r="B8" t="inlineStr">
        <is>
          <t>Total uses</t>
        </is>
      </c>
      <c r="C8" s="15">
        <f>SUM(C5:C7)</f>
        <v/>
      </c>
      <c r="D8" t="inlineStr">
        <is>
          <t>Total sources</t>
        </is>
      </c>
      <c r="E8" s="15">
        <f>SUM(E5:E7)</f>
        <v/>
      </c>
      <c r="G8">
        <f>IF(ABS(C8-E8)&lt;0.01,"PASS","FAIL")</f>
        <v/>
      </c>
    </row>
    <row r="10">
      <c r="B10" t="inlineStr">
        <is>
          <t>Pro forma gross leverage</t>
        </is>
      </c>
      <c r="C10" s="21">
        <f>IFERROR(E5/Assumptions!E5,0)</f>
        <v/>
      </c>
    </row>
    <row r="11">
      <c r="B11" t="inlineStr">
        <is>
          <t>Pro forma annual cash interest</t>
        </is>
      </c>
      <c r="C11" s="15">
        <f>E5*F5</f>
        <v/>
      </c>
    </row>
    <row r="12">
      <c r="B12" t="inlineStr">
        <is>
          <t>Pro forma interest coverage</t>
        </is>
      </c>
      <c r="C12" s="21">
        <f>IFERROR(Assumptions!E5/C11,0)</f>
        <v/>
      </c>
    </row>
  </sheetData>
  <mergeCells count="1">
    <mergeCell ref="B2:G2"/>
  </mergeCells>
  <conditionalFormatting sqref="G8">
    <cfRule type="expression" priority="1" dxfId="0">
      <formula>G8="PASS"</formula>
    </cfRule>
    <cfRule type="expression" priority="2" dxfId="1">
      <formula>G8="FAIL"</formula>
    </cfRule>
    <cfRule type="expression" priority="3" dxfId="2">
      <formula>G8="REVIEW"</formula>
    </cfRule>
    <cfRule type="expression" priority="4" dxfId="1">
      <formula>G8="BREACH"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Interest Rate &amp; Spread Sensitivity</t>
        </is>
      </c>
    </row>
    <row r="4">
      <c r="B4" s="8" t="inlineStr">
        <is>
          <t>Base-rate shock / spread shock</t>
        </is>
      </c>
      <c r="C4" s="22" t="n">
        <v>-100</v>
      </c>
      <c r="D4" s="22" t="n">
        <v>0</v>
      </c>
      <c r="E4" s="22" t="n">
        <v>100</v>
      </c>
      <c r="F4" s="22" t="n">
        <v>200</v>
      </c>
      <c r="G4" s="22" t="n">
        <v>300</v>
      </c>
    </row>
    <row r="5">
      <c r="B5" s="23" t="n">
        <v>-100</v>
      </c>
      <c r="C5" s="15">
        <f>'Capital Structure'!$C$5*MAX(0,Assumptions!$E$11+Assumptions!$E$12+($B5+C$4)/10000)+'Capital Structure'!$C$6*MAX(0,Assumptions!$E$11+Assumptions!$E$13+($B5+C$4)/10000)+'Capital Structure'!$E$7+'Capital Structure'!$E$8</f>
        <v/>
      </c>
      <c r="D5" s="15">
        <f>'Capital Structure'!$C$5*MAX(0,Assumptions!$E$11+Assumptions!$E$12+($B5+D$4)/10000)+'Capital Structure'!$C$6*MAX(0,Assumptions!$E$11+Assumptions!$E$13+($B5+D$4)/10000)+'Capital Structure'!$E$7+'Capital Structure'!$E$8</f>
        <v/>
      </c>
      <c r="E5" s="15">
        <f>'Capital Structure'!$C$5*MAX(0,Assumptions!$E$11+Assumptions!$E$12+($B5+E$4)/10000)+'Capital Structure'!$C$6*MAX(0,Assumptions!$E$11+Assumptions!$E$13+($B5+E$4)/10000)+'Capital Structure'!$E$7+'Capital Structure'!$E$8</f>
        <v/>
      </c>
      <c r="F5" s="15">
        <f>'Capital Structure'!$C$5*MAX(0,Assumptions!$E$11+Assumptions!$E$12+($B5+F$4)/10000)+'Capital Structure'!$C$6*MAX(0,Assumptions!$E$11+Assumptions!$E$13+($B5+F$4)/10000)+'Capital Structure'!$E$7+'Capital Structure'!$E$8</f>
        <v/>
      </c>
      <c r="G5" s="15">
        <f>'Capital Structure'!$C$5*MAX(0,Assumptions!$E$11+Assumptions!$E$12+($B5+G$4)/10000)+'Capital Structure'!$C$6*MAX(0,Assumptions!$E$11+Assumptions!$E$13+($B5+G$4)/10000)+'Capital Structure'!$E$7+'Capital Structure'!$E$8</f>
        <v/>
      </c>
    </row>
    <row r="6">
      <c r="B6" s="23" t="n">
        <v>0</v>
      </c>
      <c r="C6" s="15">
        <f>'Capital Structure'!$C$5*MAX(0,Assumptions!$E$11+Assumptions!$E$12+($B6+C$4)/10000)+'Capital Structure'!$C$6*MAX(0,Assumptions!$E$11+Assumptions!$E$13+($B6+C$4)/10000)+'Capital Structure'!$E$7+'Capital Structure'!$E$8</f>
        <v/>
      </c>
      <c r="D6" s="15">
        <f>'Capital Structure'!$C$5*MAX(0,Assumptions!$E$11+Assumptions!$E$12+($B6+D$4)/10000)+'Capital Structure'!$C$6*MAX(0,Assumptions!$E$11+Assumptions!$E$13+($B6+D$4)/10000)+'Capital Structure'!$E$7+'Capital Structure'!$E$8</f>
        <v/>
      </c>
      <c r="E6" s="15">
        <f>'Capital Structure'!$C$5*MAX(0,Assumptions!$E$11+Assumptions!$E$12+($B6+E$4)/10000)+'Capital Structure'!$C$6*MAX(0,Assumptions!$E$11+Assumptions!$E$13+($B6+E$4)/10000)+'Capital Structure'!$E$7+'Capital Structure'!$E$8</f>
        <v/>
      </c>
      <c r="F6" s="15">
        <f>'Capital Structure'!$C$5*MAX(0,Assumptions!$E$11+Assumptions!$E$12+($B6+F$4)/10000)+'Capital Structure'!$C$6*MAX(0,Assumptions!$E$11+Assumptions!$E$13+($B6+F$4)/10000)+'Capital Structure'!$E$7+'Capital Structure'!$E$8</f>
        <v/>
      </c>
      <c r="G6" s="15">
        <f>'Capital Structure'!$C$5*MAX(0,Assumptions!$E$11+Assumptions!$E$12+($B6+G$4)/10000)+'Capital Structure'!$C$6*MAX(0,Assumptions!$E$11+Assumptions!$E$13+($B6+G$4)/10000)+'Capital Structure'!$E$7+'Capital Structure'!$E$8</f>
        <v/>
      </c>
    </row>
    <row r="7">
      <c r="B7" s="23" t="n">
        <v>100</v>
      </c>
      <c r="C7" s="15">
        <f>'Capital Structure'!$C$5*MAX(0,Assumptions!$E$11+Assumptions!$E$12+($B7+C$4)/10000)+'Capital Structure'!$C$6*MAX(0,Assumptions!$E$11+Assumptions!$E$13+($B7+C$4)/10000)+'Capital Structure'!$E$7+'Capital Structure'!$E$8</f>
        <v/>
      </c>
      <c r="D7" s="15">
        <f>'Capital Structure'!$C$5*MAX(0,Assumptions!$E$11+Assumptions!$E$12+($B7+D$4)/10000)+'Capital Structure'!$C$6*MAX(0,Assumptions!$E$11+Assumptions!$E$13+($B7+D$4)/10000)+'Capital Structure'!$E$7+'Capital Structure'!$E$8</f>
        <v/>
      </c>
      <c r="E7" s="15">
        <f>'Capital Structure'!$C$5*MAX(0,Assumptions!$E$11+Assumptions!$E$12+($B7+E$4)/10000)+'Capital Structure'!$C$6*MAX(0,Assumptions!$E$11+Assumptions!$E$13+($B7+E$4)/10000)+'Capital Structure'!$E$7+'Capital Structure'!$E$8</f>
        <v/>
      </c>
      <c r="F7" s="15">
        <f>'Capital Structure'!$C$5*MAX(0,Assumptions!$E$11+Assumptions!$E$12+($B7+F$4)/10000)+'Capital Structure'!$C$6*MAX(0,Assumptions!$E$11+Assumptions!$E$13+($B7+F$4)/10000)+'Capital Structure'!$E$7+'Capital Structure'!$E$8</f>
        <v/>
      </c>
      <c r="G7" s="15">
        <f>'Capital Structure'!$C$5*MAX(0,Assumptions!$E$11+Assumptions!$E$12+($B7+G$4)/10000)+'Capital Structure'!$C$6*MAX(0,Assumptions!$E$11+Assumptions!$E$13+($B7+G$4)/10000)+'Capital Structure'!$E$7+'Capital Structure'!$E$8</f>
        <v/>
      </c>
    </row>
    <row r="8">
      <c r="B8" s="23" t="n">
        <v>200</v>
      </c>
      <c r="C8" s="15">
        <f>'Capital Structure'!$C$5*MAX(0,Assumptions!$E$11+Assumptions!$E$12+($B8+C$4)/10000)+'Capital Structure'!$C$6*MAX(0,Assumptions!$E$11+Assumptions!$E$13+($B8+C$4)/10000)+'Capital Structure'!$E$7+'Capital Structure'!$E$8</f>
        <v/>
      </c>
      <c r="D8" s="15">
        <f>'Capital Structure'!$C$5*MAX(0,Assumptions!$E$11+Assumptions!$E$12+($B8+D$4)/10000)+'Capital Structure'!$C$6*MAX(0,Assumptions!$E$11+Assumptions!$E$13+($B8+D$4)/10000)+'Capital Structure'!$E$7+'Capital Structure'!$E$8</f>
        <v/>
      </c>
      <c r="E8" s="15">
        <f>'Capital Structure'!$C$5*MAX(0,Assumptions!$E$11+Assumptions!$E$12+($B8+E$4)/10000)+'Capital Structure'!$C$6*MAX(0,Assumptions!$E$11+Assumptions!$E$13+($B8+E$4)/10000)+'Capital Structure'!$E$7+'Capital Structure'!$E$8</f>
        <v/>
      </c>
      <c r="F8" s="15">
        <f>'Capital Structure'!$C$5*MAX(0,Assumptions!$E$11+Assumptions!$E$12+($B8+F$4)/10000)+'Capital Structure'!$C$6*MAX(0,Assumptions!$E$11+Assumptions!$E$13+($B8+F$4)/10000)+'Capital Structure'!$E$7+'Capital Structure'!$E$8</f>
        <v/>
      </c>
      <c r="G8" s="15">
        <f>'Capital Structure'!$C$5*MAX(0,Assumptions!$E$11+Assumptions!$E$12+($B8+G$4)/10000)+'Capital Structure'!$C$6*MAX(0,Assumptions!$E$11+Assumptions!$E$13+($B8+G$4)/10000)+'Capital Structure'!$E$7+'Capital Structure'!$E$8</f>
        <v/>
      </c>
    </row>
    <row r="9">
      <c r="B9" s="23" t="n">
        <v>300</v>
      </c>
      <c r="C9" s="15">
        <f>'Capital Structure'!$C$5*MAX(0,Assumptions!$E$11+Assumptions!$E$12+($B9+C$4)/10000)+'Capital Structure'!$C$6*MAX(0,Assumptions!$E$11+Assumptions!$E$13+($B9+C$4)/10000)+'Capital Structure'!$E$7+'Capital Structure'!$E$8</f>
        <v/>
      </c>
      <c r="D9" s="15">
        <f>'Capital Structure'!$C$5*MAX(0,Assumptions!$E$11+Assumptions!$E$12+($B9+D$4)/10000)+'Capital Structure'!$C$6*MAX(0,Assumptions!$E$11+Assumptions!$E$13+($B9+D$4)/10000)+'Capital Structure'!$E$7+'Capital Structure'!$E$8</f>
        <v/>
      </c>
      <c r="E9" s="15">
        <f>'Capital Structure'!$C$5*MAX(0,Assumptions!$E$11+Assumptions!$E$12+($B9+E$4)/10000)+'Capital Structure'!$C$6*MAX(0,Assumptions!$E$11+Assumptions!$E$13+($B9+E$4)/10000)+'Capital Structure'!$E$7+'Capital Structure'!$E$8</f>
        <v/>
      </c>
      <c r="F9" s="15">
        <f>'Capital Structure'!$C$5*MAX(0,Assumptions!$E$11+Assumptions!$E$12+($B9+F$4)/10000)+'Capital Structure'!$C$6*MAX(0,Assumptions!$E$11+Assumptions!$E$13+($B9+F$4)/10000)+'Capital Structure'!$E$7+'Capital Structure'!$E$8</f>
        <v/>
      </c>
      <c r="G9" s="15">
        <f>'Capital Structure'!$C$5*MAX(0,Assumptions!$E$11+Assumptions!$E$12+($B9+G$4)/10000)+'Capital Structure'!$C$6*MAX(0,Assumptions!$E$11+Assumptions!$E$13+($B9+G$4)/10000)+'Capital Structure'!$E$7+'Capital Structure'!$E$8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E2F0D9"/>
        <color rgb="00FFF2CC"/>
        <color rgb="00FCE4D6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18" customWidth="1" min="4" max="4"/>
    <col width="22" customWidth="1" min="5" max="5"/>
  </cols>
  <sheetData>
    <row r="2" ht="28" customHeight="1">
      <c r="B2" s="1" t="inlineStr">
        <is>
          <t>Covenant &amp; Rating Screens</t>
        </is>
      </c>
    </row>
    <row r="4">
      <c r="B4" s="8" t="inlineStr">
        <is>
          <t>Metric</t>
        </is>
      </c>
      <c r="C4" s="8" t="inlineStr">
        <is>
          <t>Actual</t>
        </is>
      </c>
      <c r="D4" s="8" t="inlineStr">
        <is>
          <t>Threshold</t>
        </is>
      </c>
      <c r="E4" s="8" t="inlineStr">
        <is>
          <t>Headroom / status</t>
        </is>
      </c>
    </row>
    <row r="5">
      <c r="B5" t="inlineStr">
        <is>
          <t>Gross leverage</t>
        </is>
      </c>
      <c r="C5" s="21">
        <f>'Capital Structure'!C13</f>
        <v/>
      </c>
      <c r="D5" s="21">
        <f>Assumptions!E18</f>
        <v/>
      </c>
      <c r="E5" s="21">
        <f>D5-C5</f>
        <v/>
      </c>
    </row>
    <row r="6">
      <c r="B6" t="inlineStr">
        <is>
          <t>Interest coverage</t>
        </is>
      </c>
      <c r="C6" s="21">
        <f>'Capital Structure'!C15</f>
        <v/>
      </c>
      <c r="D6" s="21">
        <f>Assumptions!E19</f>
        <v/>
      </c>
      <c r="E6" s="21">
        <f>C6-D6</f>
        <v/>
      </c>
    </row>
    <row r="7">
      <c r="B7" t="inlineStr">
        <is>
          <t>Near-term maturities / debt</t>
        </is>
      </c>
      <c r="C7" s="16">
        <f>IFERROR(SUM('Maturity Ladder'!C10:E10)/'Capital Structure'!C10,0)</f>
        <v/>
      </c>
      <c r="D7" s="16" t="n">
        <v>0.35</v>
      </c>
      <c r="E7" s="16">
        <f>D7-C7</f>
        <v/>
      </c>
    </row>
    <row r="8">
      <c r="B8" t="inlineStr">
        <is>
          <t>Refinancing status</t>
        </is>
      </c>
      <c r="C8">
        <f>Refinancing!G8</f>
        <v/>
      </c>
      <c r="D8" t="inlineStr">
        <is>
          <t>PASS</t>
        </is>
      </c>
      <c r="E8">
        <f>IF(C8=D8,"PASS","FAIL")</f>
        <v/>
      </c>
    </row>
  </sheetData>
  <mergeCells count="1">
    <mergeCell ref="B2:E2"/>
  </mergeCells>
  <conditionalFormatting sqref="E8">
    <cfRule type="expression" priority="1" dxfId="0">
      <formula>E8="PASS"</formula>
    </cfRule>
    <cfRule type="expression" priority="2" dxfId="1">
      <formula>E8="FAIL"</formula>
    </cfRule>
    <cfRule type="expression" priority="3" dxfId="2">
      <formula>E8="REVIEW"</formula>
    </cfRule>
    <cfRule type="expression" priority="4" dxfId="1">
      <formula>E8="BREACH"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18" customWidth="1" min="4" max="4"/>
    <col width="42" customWidth="1" min="5" max="5"/>
  </cols>
  <sheetData>
    <row r="2" ht="28" customHeight="1">
      <c r="B2" s="1" t="inlineStr">
        <is>
          <t>Claim Recovery Waterfall</t>
        </is>
      </c>
    </row>
    <row r="4">
      <c r="B4" s="8" t="inlineStr">
        <is>
          <t>Metric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Note</t>
        </is>
      </c>
    </row>
    <row r="5">
      <c r="B5" t="inlineStr">
        <is>
          <t>Stressed EBITDA</t>
        </is>
      </c>
      <c r="C5" s="15">
        <f>Assumptions!C5</f>
        <v/>
      </c>
      <c r="D5" s="15">
        <f>Assumptions!D5</f>
        <v/>
      </c>
    </row>
    <row r="6">
      <c r="B6" t="inlineStr">
        <is>
          <t>Recovery multiple</t>
        </is>
      </c>
      <c r="C6" s="21">
        <f>Assumptions!C20</f>
        <v/>
      </c>
      <c r="D6" s="21">
        <f>Assumptions!D20</f>
        <v/>
      </c>
    </row>
    <row r="7">
      <c r="B7" t="inlineStr">
        <is>
          <t>Enterprise value</t>
        </is>
      </c>
      <c r="C7" s="15">
        <f>C5*C6</f>
        <v/>
      </c>
      <c r="D7" s="15">
        <f>D5*D6</f>
        <v/>
      </c>
    </row>
    <row r="8">
      <c r="B8" t="inlineStr">
        <is>
          <t>EV haircut</t>
        </is>
      </c>
      <c r="C8" s="15">
        <f>C7*Assumptions!C21</f>
        <v/>
      </c>
      <c r="D8" s="15">
        <f>D7*Assumptions!D21</f>
        <v/>
      </c>
    </row>
    <row r="9">
      <c r="B9" t="inlineStr">
        <is>
          <t>Distributable value</t>
        </is>
      </c>
      <c r="C9" s="15">
        <f>C7-C8</f>
        <v/>
      </c>
      <c r="D9" s="15">
        <f>D7-D8</f>
        <v/>
      </c>
    </row>
    <row r="10">
      <c r="B10" t="inlineStr">
        <is>
          <t>Gross debt</t>
        </is>
      </c>
      <c r="C10" s="15">
        <f>'Capital Structure'!C10</f>
        <v/>
      </c>
      <c r="D10" s="15">
        <f>'Capital Structure'!C10</f>
        <v/>
      </c>
    </row>
    <row r="11">
      <c r="B11" t="inlineStr">
        <is>
          <t>Recovery value</t>
        </is>
      </c>
      <c r="C11" s="15">
        <f>MIN(C9,C10)</f>
        <v/>
      </c>
      <c r="D11" s="15">
        <f>MIN(D9,D10)</f>
        <v/>
      </c>
    </row>
    <row r="12">
      <c r="B12" t="inlineStr">
        <is>
          <t>Recovery rate</t>
        </is>
      </c>
      <c r="C12" s="16">
        <f>IFERROR(C11/C10,0)</f>
        <v/>
      </c>
      <c r="D12" s="16">
        <f>IFERROR(D11/D10,0)</f>
        <v/>
      </c>
    </row>
    <row r="13">
      <c r="B13" t="inlineStr">
        <is>
          <t>LGD</t>
        </is>
      </c>
      <c r="C13" s="16">
        <f>1-C12</f>
        <v/>
      </c>
      <c r="D13" s="16">
        <f>1-D12</f>
        <v/>
      </c>
    </row>
  </sheetData>
  <mergeCells count="1">
    <mergeCell ref="B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</cols>
  <sheetData>
    <row r="2" ht="28" customHeight="1">
      <c r="B2" s="1" t="inlineStr">
        <is>
          <t>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Sources equal uses</t>
        </is>
      </c>
      <c r="C5">
        <f>IF(Refinancing!G8="PASS","PASS","FAIL")</f>
        <v/>
      </c>
    </row>
    <row r="6">
      <c r="B6" t="inlineStr">
        <is>
          <t>Debt nonnegative</t>
        </is>
      </c>
      <c r="C6">
        <f>IF('Capital Structure'!C10&gt;=0,"PASS","FAIL")</f>
        <v/>
      </c>
    </row>
    <row r="7">
      <c r="B7" t="inlineStr">
        <is>
          <t>Maturities reconcile</t>
        </is>
      </c>
      <c r="C7">
        <f>IF(ABS(SUM('Maturity Ladder'!C10:H10)-'Capital Structure'!C10)&lt;0.01,"PASS","REVIEW")</f>
        <v/>
      </c>
    </row>
    <row r="8">
      <c r="B8" t="inlineStr">
        <is>
          <t>Recovery bounded</t>
        </is>
      </c>
      <c r="C8">
        <f>IF(AND(MIN(Recovery!C12:D12)&gt;=0,MAX(Recovery!C12:D12)&lt;=1),"PASS","FAIL")</f>
        <v/>
      </c>
    </row>
    <row r="9">
      <c r="B9" t="inlineStr">
        <is>
          <t>Overall</t>
        </is>
      </c>
      <c r="C9">
        <f>IF(COUNTIF(C5:C8,"FAIL")+COUNTIF(C5:C8,"REVIEW")=0,"PASS","REVIEW")</f>
        <v/>
      </c>
    </row>
  </sheetData>
  <mergeCells count="1">
    <mergeCell ref="B2:C2"/>
  </mergeCells>
  <conditionalFormatting sqref="C5:C9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4" t="inlineStr">
        <is>
          <t>Debt instruments</t>
        </is>
      </c>
      <c r="C5" s="24" t="inlineStr">
        <is>
          <t>Credit agreements, indentures, or filings</t>
        </is>
      </c>
      <c r="D5" s="24" t="inlineStr">
        <is>
          <t>[date]</t>
        </is>
      </c>
      <c r="E5" s="24" t="inlineStr">
        <is>
          <t>Balance, rate, maturity, collateral and covenants</t>
        </is>
      </c>
    </row>
    <row r="6">
      <c r="B6" s="24" t="inlineStr">
        <is>
          <t>Market pricing</t>
        </is>
      </c>
      <c r="C6" s="24" t="inlineStr">
        <is>
          <t>Treasury / swap curve and comparable new issues</t>
        </is>
      </c>
      <c r="D6" s="24" t="inlineStr">
        <is>
          <t>[date]</t>
        </is>
      </c>
      <c r="E6" s="24" t="inlineStr">
        <is>
          <t>Freeze base-rate and spread assumptions</t>
        </is>
      </c>
    </row>
    <row r="7">
      <c r="B7" s="24" t="inlineStr">
        <is>
          <t>Financial statements</t>
        </is>
      </c>
      <c r="C7" s="24" t="inlineStr">
        <is>
          <t>Audited statements or filing</t>
        </is>
      </c>
      <c r="D7" s="24" t="inlineStr">
        <is>
          <t>[period]</t>
        </is>
      </c>
      <c r="E7" s="24" t="inlineStr">
        <is>
          <t>EBITDA, cash and debt reconciliation</t>
        </is>
      </c>
    </row>
    <row r="8">
      <c r="B8" s="24" t="inlineStr">
        <is>
          <t>Recovery methodology</t>
        </is>
      </c>
      <c r="C8" s="24" t="inlineStr">
        <is>
          <t>Documented enterprise-value and priority assumptions</t>
        </is>
      </c>
      <c r="D8" s="24" t="inlineStr">
        <is>
          <t>[date]</t>
        </is>
      </c>
      <c r="E8" s="24" t="inlineStr">
        <is>
          <t>Claim-level recovery bridge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5" t="n"/>
      <c r="C5" s="25" t="n"/>
      <c r="D5" s="25" t="n"/>
      <c r="E5" s="25" t="n"/>
      <c r="F5" s="25" t="n"/>
      <c r="G5" s="25" t="n"/>
    </row>
    <row r="6">
      <c r="B6" s="25" t="n"/>
      <c r="C6" s="25" t="n"/>
      <c r="D6" s="25" t="n"/>
      <c r="E6" s="25" t="n"/>
      <c r="F6" s="25" t="n"/>
      <c r="G6" s="25" t="n"/>
    </row>
    <row r="7">
      <c r="B7" s="25" t="n"/>
      <c r="C7" s="25" t="n"/>
      <c r="D7" s="25" t="n"/>
      <c r="E7" s="25" t="n"/>
      <c r="F7" s="25" t="n"/>
      <c r="G7" s="25" t="n"/>
    </row>
    <row r="8">
      <c r="B8" s="25" t="n"/>
      <c r="C8" s="25" t="n"/>
      <c r="D8" s="25" t="n"/>
      <c r="E8" s="25" t="n"/>
      <c r="F8" s="25" t="n"/>
      <c r="G8" s="25" t="n"/>
    </row>
    <row r="9">
      <c r="B9" s="25" t="n"/>
      <c r="C9" s="25" t="n"/>
      <c r="D9" s="25" t="n"/>
      <c r="E9" s="25" t="n"/>
      <c r="F9" s="25" t="n"/>
      <c r="G9" s="25" t="n"/>
    </row>
    <row r="10">
      <c r="B10" s="25" t="n"/>
      <c r="C10" s="25" t="n"/>
      <c r="D10" s="25" t="n"/>
      <c r="E10" s="25" t="n"/>
      <c r="F10" s="25" t="n"/>
      <c r="G10" s="25" t="n"/>
    </row>
    <row r="11">
      <c r="B11" s="25" t="n"/>
      <c r="C11" s="25" t="n"/>
      <c r="D11" s="25" t="n"/>
      <c r="E11" s="25" t="n"/>
      <c r="F11" s="25" t="n"/>
      <c r="G11" s="25" t="n"/>
    </row>
    <row r="12">
      <c r="B12" s="25" t="n"/>
      <c r="C12" s="25" t="n"/>
      <c r="D12" s="25" t="n"/>
      <c r="E12" s="25" t="n"/>
      <c r="F12" s="25" t="n"/>
      <c r="G12" s="25" t="n"/>
    </row>
    <row r="13">
      <c r="B13" s="25" t="n"/>
      <c r="C13" s="25" t="n"/>
      <c r="D13" s="25" t="n"/>
      <c r="E13" s="25" t="n"/>
      <c r="F13" s="25" t="n"/>
      <c r="G13" s="25" t="n"/>
    </row>
    <row r="14">
      <c r="B14" s="25" t="n"/>
      <c r="C14" s="25" t="n"/>
      <c r="D14" s="25" t="n"/>
      <c r="E14" s="25" t="n"/>
      <c r="F14" s="25" t="n"/>
      <c r="G14" s="25" t="n"/>
    </row>
    <row r="15">
      <c r="B15" s="25" t="n"/>
      <c r="C15" s="25" t="n"/>
      <c r="D15" s="25" t="n"/>
      <c r="E15" s="25" t="n"/>
      <c r="F15" s="25" t="n"/>
      <c r="G15" s="25" t="n"/>
    </row>
    <row r="16">
      <c r="B16" s="25" t="n"/>
      <c r="C16" s="25" t="n"/>
      <c r="D16" s="25" t="n"/>
      <c r="E16" s="25" t="n"/>
      <c r="F16" s="25" t="n"/>
      <c r="G16" s="25" t="n"/>
    </row>
    <row r="17">
      <c r="B17" s="25" t="n"/>
      <c r="C17" s="25" t="n"/>
      <c r="D17" s="25" t="n"/>
      <c r="E17" s="25" t="n"/>
      <c r="F17" s="25" t="n"/>
      <c r="G17" s="25" t="n"/>
    </row>
    <row r="18">
      <c r="B18" s="25" t="n"/>
      <c r="C18" s="25" t="n"/>
      <c r="D18" s="25" t="n"/>
      <c r="E18" s="25" t="n"/>
      <c r="F18" s="25" t="n"/>
      <c r="G18" s="25" t="n"/>
    </row>
    <row r="19">
      <c r="B19" s="25" t="n"/>
      <c r="C19" s="25" t="n"/>
      <c r="D19" s="25" t="n"/>
      <c r="E19" s="25" t="n"/>
      <c r="F19" s="25" t="n"/>
      <c r="G19" s="25" t="n"/>
    </row>
    <row r="20">
      <c r="B20" s="25" t="n"/>
      <c r="C20" s="25" t="n"/>
      <c r="D20" s="25" t="n"/>
      <c r="E20" s="25" t="n"/>
      <c r="F20" s="25" t="n"/>
      <c r="G20" s="25" t="n"/>
    </row>
    <row r="21">
      <c r="B21" s="25" t="n"/>
      <c r="C21" s="25" t="n"/>
      <c r="D21" s="25" t="n"/>
      <c r="E21" s="25" t="n"/>
      <c r="F21" s="25" t="n"/>
      <c r="G21" s="25" t="n"/>
    </row>
    <row r="22">
      <c r="B22" s="25" t="n"/>
      <c r="C22" s="25" t="n"/>
      <c r="D22" s="25" t="n"/>
      <c r="E22" s="25" t="n"/>
      <c r="F22" s="25" t="n"/>
      <c r="G22" s="25" t="n"/>
    </row>
    <row r="23">
      <c r="B23" s="25" t="n"/>
      <c r="C23" s="25" t="n"/>
      <c r="D23" s="25" t="n"/>
      <c r="E23" s="25" t="n"/>
      <c r="F23" s="25" t="n"/>
      <c r="G23" s="25" t="n"/>
    </row>
    <row r="24">
      <c r="B24" s="25" t="n"/>
      <c r="C24" s="25" t="n"/>
      <c r="D24" s="25" t="n"/>
      <c r="E24" s="25" t="n"/>
      <c r="F24" s="25" t="n"/>
      <c r="G24" s="25" t="n"/>
    </row>
    <row r="25">
      <c r="B25" s="25" t="n"/>
      <c r="C25" s="25" t="n"/>
      <c r="D25" s="25" t="n"/>
      <c r="E25" s="25" t="n"/>
      <c r="F25" s="25" t="n"/>
      <c r="G25" s="25" t="n"/>
    </row>
    <row r="26">
      <c r="B26" s="25" t="n"/>
      <c r="C26" s="25" t="n"/>
      <c r="D26" s="25" t="n"/>
      <c r="E26" s="25" t="n"/>
      <c r="F26" s="25" t="n"/>
      <c r="G26" s="25" t="n"/>
    </row>
    <row r="27">
      <c r="B27" s="25" t="n"/>
      <c r="C27" s="25" t="n"/>
      <c r="D27" s="25" t="n"/>
      <c r="E27" s="25" t="n"/>
      <c r="F27" s="25" t="n"/>
      <c r="G27" s="25" t="n"/>
    </row>
    <row r="28">
      <c r="B28" s="25" t="n"/>
      <c r="C28" s="25" t="n"/>
      <c r="D28" s="25" t="n"/>
      <c r="E28" s="25" t="n"/>
      <c r="F28" s="25" t="n"/>
      <c r="G28" s="25" t="n"/>
    </row>
    <row r="29">
      <c r="B29" s="25" t="n"/>
      <c r="C29" s="25" t="n"/>
      <c r="D29" s="25" t="n"/>
      <c r="E29" s="25" t="n"/>
      <c r="F29" s="25" t="n"/>
      <c r="G29" s="25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2026-08-04T01:30:14Z</dcterms:created>
  <dcterms:modified xsi:type="dcterms:W3CDTF">2026-08-04T01:30:14Z</dcterms:modified>
</cp:coreProperties>
</file>