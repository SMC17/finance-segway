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Capital Structure" sheetId="6" state="visible" r:id="rId6"/>
    <sheet xmlns:r="http://schemas.openxmlformats.org/officeDocument/2006/relationships" name="Maturity Ladder" sheetId="7" state="visible" r:id="rId7"/>
    <sheet xmlns:r="http://schemas.openxmlformats.org/officeDocument/2006/relationships" name="Refinancing" sheetId="8" state="visible" r:id="rId8"/>
    <sheet xmlns:r="http://schemas.openxmlformats.org/officeDocument/2006/relationships" name="Interest Rate Risk" sheetId="9" state="visible" r:id="rId9"/>
    <sheet xmlns:r="http://schemas.openxmlformats.org/officeDocument/2006/relationships" name="Covenants" sheetId="10" state="visible" r:id="rId10"/>
    <sheet xmlns:r="http://schemas.openxmlformats.org/officeDocument/2006/relationships" name="Recovery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  <sheet xmlns:r="http://schemas.openxmlformats.org/officeDocument/2006/relationships" name="Refinancing &amp; Rates" sheetId="15" state="visible" r:id="rId15"/>
    <sheet xmlns:r="http://schemas.openxmlformats.org/officeDocument/2006/relationships" name="Decision &amp; Checks" sheetId="16" state="visible" r:id="rId16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\$#,##0.0;[RED]&quot;($&quot;#,##0.0\);\-"/>
    <numFmt numFmtId="165" formatCode="0.0%;[RED]\(0.0%\);\-"/>
    <numFmt numFmtId="166" formatCode="0.0\x;[RED]\(0.0&quot;x)&quot;;\-"/>
    <numFmt numFmtId="167" formatCode="\$#,##0;&quot;($&quot;#,##0\);\-"/>
    <numFmt numFmtId="168" formatCode="0.0%;\(0.0%\);\-"/>
    <numFmt numFmtId="169" formatCode="0.00%;[RED]\(0.00%\);\-"/>
    <numFmt numFmtId="170" formatCode="0&quot; bps&quot;"/>
    <numFmt numFmtId="171" formatCode="0.0\x"/>
    <numFmt numFmtId="172" formatCode="#,##0;\(#,##0\);\-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</patternFill>
    </fill>
  </fills>
  <borders count="5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111827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3" fillId="4" borderId="0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3" applyAlignment="1" pivotButton="0" quotePrefix="0" xfId="0">
      <alignment horizontal="general" vertical="bottom"/>
    </xf>
    <xf numFmtId="164" fontId="5" fillId="0" borderId="3" applyAlignment="1" pivotButton="0" quotePrefix="0" xfId="0">
      <alignment horizontal="general" vertical="bottom"/>
    </xf>
    <xf numFmtId="166" fontId="5" fillId="0" borderId="3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6" fillId="6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70" fontId="7" fillId="2" borderId="1" applyAlignment="1" pivotButton="0" quotePrefix="0" xfId="0">
      <alignment horizontal="center" vertical="center" wrapText="1"/>
    </xf>
    <xf numFmtId="170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167" fontId="6" fillId="6" borderId="4" applyAlignment="1" pivotButton="0" quotePrefix="0" xfId="0">
      <alignment horizontal="general" vertical="bottom"/>
    </xf>
    <xf numFmtId="168" fontId="6" fillId="6" borderId="4" applyAlignment="1" pivotButton="0" quotePrefix="0" xfId="0">
      <alignment horizontal="general" vertical="bottom"/>
    </xf>
    <xf numFmtId="171" fontId="6" fillId="6" borderId="4" applyAlignment="1" pivotButton="0" quotePrefix="0" xfId="0">
      <alignment horizontal="general" vertical="bottom"/>
    </xf>
    <xf numFmtId="167" fontId="0" fillId="0" borderId="4" applyAlignment="1" pivotButton="0" quotePrefix="0" xfId="0">
      <alignment horizontal="general" vertical="bottom"/>
    </xf>
    <xf numFmtId="168" fontId="0" fillId="0" borderId="4" applyAlignment="1" pivotButton="0" quotePrefix="0" xfId="0">
      <alignment horizontal="general" vertical="bottom"/>
    </xf>
    <xf numFmtId="171" fontId="0" fillId="0" borderId="4" applyAlignment="1" pivotButton="0" quotePrefix="0" xfId="0">
      <alignment horizontal="general" vertical="bottom"/>
    </xf>
    <xf numFmtId="172" fontId="0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18" fillId="7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3" fillId="4" borderId="0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3" applyAlignment="1" pivotButton="0" quotePrefix="0" xfId="0">
      <alignment horizontal="general" vertical="bottom"/>
    </xf>
    <xf numFmtId="164" fontId="5" fillId="0" borderId="3" applyAlignment="1" pivotButton="0" quotePrefix="0" xfId="0">
      <alignment horizontal="general" vertical="bottom"/>
    </xf>
    <xf numFmtId="166" fontId="5" fillId="0" borderId="3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6" fillId="6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70" fontId="7" fillId="2" borderId="1" applyAlignment="1" pivotButton="0" quotePrefix="0" xfId="0">
      <alignment horizontal="center" vertical="center" wrapText="1"/>
    </xf>
    <xf numFmtId="170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8" fillId="0" borderId="0" pivotButton="0" quotePrefix="0" xfId="0"/>
    <xf numFmtId="0" fontId="0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center" vertical="bottom"/>
    </xf>
    <xf numFmtId="167" fontId="18" fillId="7" borderId="4" applyAlignment="1" pivotButton="0" quotePrefix="0" xfId="0">
      <alignment horizontal="general" vertical="bottom"/>
    </xf>
    <xf numFmtId="167" fontId="6" fillId="6" borderId="4" applyAlignment="1" pivotButton="0" quotePrefix="0" xfId="0">
      <alignment horizontal="general" vertical="bottom"/>
    </xf>
    <xf numFmtId="168" fontId="6" fillId="6" borderId="4" applyAlignment="1" pivotButton="0" quotePrefix="0" xfId="0">
      <alignment horizontal="general" vertical="bottom"/>
    </xf>
    <xf numFmtId="171" fontId="6" fillId="6" borderId="4" applyAlignment="1" pivotButton="0" quotePrefix="0" xfId="0">
      <alignment horizontal="general" vertical="bottom"/>
    </xf>
    <xf numFmtId="167" fontId="0" fillId="0" borderId="4" applyAlignment="1" pivotButton="0" quotePrefix="0" xfId="0">
      <alignment horizontal="general" vertical="bottom"/>
    </xf>
    <xf numFmtId="168" fontId="0" fillId="0" borderId="4" applyAlignment="1" pivotButton="0" quotePrefix="0" xfId="0">
      <alignment horizontal="general" vertical="bottom"/>
    </xf>
    <xf numFmtId="171" fontId="0" fillId="0" borderId="4" applyAlignment="1" pivotButton="0" quotePrefix="0" xfId="0">
      <alignment horizontal="general" vertical="bottom"/>
    </xf>
    <xf numFmtId="172" fontId="0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6" customWidth="1" style="47" min="2" max="2"/>
    <col width="46" customWidth="1" style="47" min="3" max="3"/>
    <col width="12" customWidth="1" style="47" min="4" max="6"/>
  </cols>
  <sheetData>
    <row r="2" ht="27.75" customHeight="1" s="48">
      <c r="B2" s="49" t="inlineStr">
        <is>
          <t>[ISSUER] — Debt Finance &amp; Refinancing</t>
        </is>
      </c>
    </row>
    <row r="4" ht="15" customHeight="1" s="48">
      <c r="B4" s="50" t="inlineStr">
        <is>
          <t>Issuer:</t>
        </is>
      </c>
      <c r="C4" s="51" t="inlineStr">
        <is>
          <t>[Name]</t>
        </is>
      </c>
    </row>
    <row r="5" ht="15" customHeight="1" s="48">
      <c r="B5" s="50" t="inlineStr">
        <is>
          <t>Transaction:</t>
        </is>
      </c>
      <c r="C5" s="51" t="inlineStr">
        <is>
          <t>Refinancing / acquisition / general corporate</t>
        </is>
      </c>
    </row>
    <row r="6" ht="15" customHeight="1" s="48">
      <c r="B6" s="50" t="inlineStr">
        <is>
          <t>Last refreshed:</t>
        </is>
      </c>
      <c r="C6" s="52" t="inlineStr">
        <is>
          <t>2024-06-30</t>
        </is>
      </c>
    </row>
    <row r="7" ht="15" customHeight="1" s="48">
      <c r="B7" s="50" t="inlineStr">
        <is>
          <t>Next maturity / launch:</t>
        </is>
      </c>
      <c r="C7" s="51" t="inlineStr">
        <is>
          <t>[date]</t>
        </is>
      </c>
    </row>
    <row r="8" ht="15" customHeight="1" s="48">
      <c r="B8" s="50" t="inlineStr">
        <is>
          <t>Refresh cadence:</t>
        </is>
      </c>
      <c r="C8" s="51" t="inlineStr">
        <is>
          <t>Weekly</t>
        </is>
      </c>
    </row>
    <row r="9" ht="15" customHeight="1" s="48">
      <c r="B9" s="50" t="inlineStr">
        <is>
          <t>Active scenario:</t>
        </is>
      </c>
      <c r="C9" s="52" t="inlineStr">
        <is>
          <t>Base</t>
        </is>
      </c>
    </row>
    <row r="10" ht="15" customHeight="1" s="48">
      <c r="B10" s="50" t="inlineStr">
        <is>
          <t>Units:</t>
        </is>
      </c>
      <c r="C10" s="51" t="inlineStr">
        <is>
          <t>$ in millions</t>
        </is>
      </c>
    </row>
    <row r="13" ht="15" customHeight="1" s="48">
      <c r="B13" s="53" t="inlineStr">
        <is>
          <t>Modeling conventions</t>
        </is>
      </c>
    </row>
    <row r="14" ht="15" customHeight="1" s="48">
      <c r="B14" s="54" t="inlineStr">
        <is>
          <t>Blue text / yellow fill</t>
        </is>
      </c>
      <c r="C14" s="55" t="inlineStr">
        <is>
          <t>Hardcoded input or selected scenario</t>
        </is>
      </c>
    </row>
    <row r="15" ht="15" customHeight="1" s="48">
      <c r="B15" s="50" t="inlineStr">
        <is>
          <t>Black text</t>
        </is>
      </c>
      <c r="C15" s="55" t="inlineStr">
        <is>
          <t>Formula / same-sheet calculation</t>
        </is>
      </c>
    </row>
    <row r="16" ht="15" customHeight="1" s="48">
      <c r="B16" s="56" t="inlineStr">
        <is>
          <t>Green text</t>
        </is>
      </c>
      <c r="C16" s="55" t="inlineStr">
        <is>
          <t>Cross-sheet formula / link</t>
        </is>
      </c>
    </row>
    <row r="17" ht="15" customHeight="1" s="48">
      <c r="B17" s="50" t="inlineStr">
        <is>
          <t>Checks</t>
        </is>
      </c>
      <c r="C17" s="55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47" min="2" max="2"/>
    <col width="48" customWidth="1" style="47" min="3" max="3"/>
    <col width="24" customWidth="1" style="47" min="4" max="4"/>
    <col width="34" customWidth="1" style="47" min="5" max="5"/>
    <col width="20" customWidth="1" style="47" min="6" max="6"/>
  </cols>
  <sheetData>
    <row r="2" ht="18.55" customHeight="1" s="48">
      <c r="B2" s="57" t="inlineStr">
        <is>
          <t>Debt Finance — Institutional Decision Surface</t>
        </is>
      </c>
    </row>
    <row r="4" ht="15" customHeight="1" s="48">
      <c r="B4" s="58" t="inlineStr">
        <is>
          <t>Model ID</t>
        </is>
      </c>
      <c r="C4" s="59" t="inlineStr">
        <is>
          <t>06</t>
        </is>
      </c>
    </row>
    <row r="5" ht="15" customHeight="1" s="48">
      <c r="B5" s="58" t="inlineStr">
        <is>
          <t>Domain</t>
        </is>
      </c>
      <c r="C5" s="59" t="inlineStr">
        <is>
          <t>Debt Finance</t>
        </is>
      </c>
    </row>
    <row r="6" ht="15" customHeight="1" s="48">
      <c r="B6" s="58" t="inlineStr">
        <is>
          <t>Declared maturity</t>
        </is>
      </c>
      <c r="C6" s="59" t="inlineStr">
        <is>
          <t>M2</t>
        </is>
      </c>
    </row>
    <row r="7" ht="15" customHeight="1" s="48">
      <c r="B7" s="58" t="inlineStr">
        <is>
          <t>Canonical builder</t>
        </is>
      </c>
      <c r="C7" s="59" t="inlineStr">
        <is>
          <t>tools/builders/build_debt_finance_release.py</t>
        </is>
      </c>
    </row>
    <row r="8" ht="15" customHeight="1" s="48">
      <c r="B8" s="58" t="inlineStr">
        <is>
          <t>Decision arena</t>
        </is>
      </c>
      <c r="C8" s="59" t="inlineStr">
        <is>
          <t>issuer treasury, syndicate desk, rating agencies and board finance committee</t>
        </is>
      </c>
    </row>
    <row r="9" ht="15" customHeight="1" s="48">
      <c r="B9" s="58" t="inlineStr">
        <is>
          <t>Committee artifact</t>
        </is>
      </c>
      <c r="C9" s="59" t="inlineStr">
        <is>
          <t>financing alternatives and execution memo</t>
        </is>
      </c>
    </row>
    <row r="10" ht="15" customHeight="1" s="48">
      <c r="B10" s="58" t="inlineStr">
        <is>
          <t>Operating cadence</t>
        </is>
      </c>
      <c r="C10" s="59" t="inlineStr">
        <is>
          <t>daily during execution; monthly treasury</t>
        </is>
      </c>
    </row>
    <row r="12" ht="15" customHeight="1" s="48">
      <c r="B12" s="60" t="inlineStr">
        <is>
          <t>Key decision outputs</t>
        </is>
      </c>
    </row>
    <row r="13" ht="15" customHeight="1" s="48">
      <c r="B13" s="61" t="inlineStr">
        <is>
          <t>#</t>
        </is>
      </c>
      <c r="C13" s="61" t="inlineStr">
        <is>
          <t>Requirement</t>
        </is>
      </c>
      <c r="D13" s="61" t="inlineStr">
        <is>
          <t>Owner</t>
        </is>
      </c>
      <c r="E13" s="61" t="inlineStr">
        <is>
          <t>Evidence / location</t>
        </is>
      </c>
      <c r="F13" s="61" t="inlineStr">
        <is>
          <t>Status</t>
        </is>
      </c>
    </row>
    <row r="14" ht="15" customHeight="1" s="48">
      <c r="B14" s="47" t="n">
        <v>1</v>
      </c>
      <c r="C14" s="47" t="inlineStr">
        <is>
          <t>all-in cost and break-even</t>
        </is>
      </c>
      <c r="F14" s="47" t="inlineStr">
        <is>
          <t>OPEN</t>
        </is>
      </c>
    </row>
    <row r="15" ht="15" customHeight="1" s="48">
      <c r="B15" s="47" t="n">
        <v>2</v>
      </c>
      <c r="C15" s="47" t="inlineStr">
        <is>
          <t>maturity and refinancing profile</t>
        </is>
      </c>
      <c r="F15" s="47" t="inlineStr">
        <is>
          <t>OPEN</t>
        </is>
      </c>
    </row>
    <row r="16" ht="15" customHeight="1" s="48">
      <c r="B16" s="47" t="n">
        <v>3</v>
      </c>
      <c r="C16" s="47" t="inlineStr">
        <is>
          <t>ratings and covenant capacity</t>
        </is>
      </c>
      <c r="F16" s="47" t="inlineStr">
        <is>
          <t>OPEN</t>
        </is>
      </c>
    </row>
    <row r="17" ht="15" customHeight="1" s="48">
      <c r="B17" s="47" t="n">
        <v>4</v>
      </c>
      <c r="C17" s="47" t="inlineStr">
        <is>
          <t>base, downside and break-even outputs</t>
        </is>
      </c>
      <c r="F17" s="47" t="inlineStr">
        <is>
          <t>OPEN</t>
        </is>
      </c>
    </row>
    <row r="18" ht="15" customHeight="1" s="48">
      <c r="B18" s="47" t="n">
        <v>5</v>
      </c>
      <c r="C18" s="47" t="inlineStr">
        <is>
          <t>liquidity / funding requirement and binding constraint</t>
        </is>
      </c>
      <c r="F18" s="47" t="inlineStr">
        <is>
          <t>OPEN</t>
        </is>
      </c>
    </row>
    <row r="20" ht="15" customHeight="1" s="48">
      <c r="B20" s="60" t="inlineStr">
        <is>
          <t>Insider questions</t>
        </is>
      </c>
    </row>
    <row r="21" ht="15" customHeight="1" s="48">
      <c r="B21" s="61" t="inlineStr">
        <is>
          <t>#</t>
        </is>
      </c>
      <c r="C21" s="61" t="inlineStr">
        <is>
          <t>Requirement</t>
        </is>
      </c>
      <c r="D21" s="61" t="inlineStr">
        <is>
          <t>Owner</t>
        </is>
      </c>
      <c r="E21" s="61" t="inlineStr">
        <is>
          <t>Evidence / location</t>
        </is>
      </c>
      <c r="F21" s="61" t="inlineStr">
        <is>
          <t>Status</t>
        </is>
      </c>
    </row>
    <row r="22" ht="15" customHeight="1" s="48">
      <c r="B22" s="47" t="n">
        <v>1</v>
      </c>
      <c r="C22" s="47" t="inlineStr">
        <is>
          <t>Where is the break-even between fixed and floating?</t>
        </is>
      </c>
      <c r="F22" s="47" t="inlineStr">
        <is>
          <t>OPEN</t>
        </is>
      </c>
    </row>
    <row r="23" ht="15" customHeight="1" s="48">
      <c r="B23" s="47" t="n">
        <v>2</v>
      </c>
      <c r="C23" s="47" t="inlineStr">
        <is>
          <t>What flex can arrangers exercise?</t>
        </is>
      </c>
      <c r="F23" s="47" t="inlineStr">
        <is>
          <t>OPEN</t>
        </is>
      </c>
    </row>
    <row r="24" ht="15" customHeight="1" s="48">
      <c r="B24" s="47" t="n">
        <v>3</v>
      </c>
      <c r="C24" s="47" t="inlineStr">
        <is>
          <t>Which maturities cluster under the downside?</t>
        </is>
      </c>
      <c r="F24" s="47" t="inlineStr">
        <is>
          <t>OPEN</t>
        </is>
      </c>
    </row>
    <row r="25" ht="15" customHeight="1" s="48">
      <c r="B25" s="47" t="n">
        <v>4</v>
      </c>
      <c r="C25" s="47" t="inlineStr">
        <is>
          <t>Which assumption is owner-approved versus modeler judgement?</t>
        </is>
      </c>
      <c r="F25" s="47" t="inlineStr">
        <is>
          <t>OPEN</t>
        </is>
      </c>
    </row>
    <row r="26" ht="15" customHeight="1" s="48">
      <c r="B26" s="47" t="n">
        <v>5</v>
      </c>
      <c r="C26" s="47" t="inlineStr">
        <is>
          <t>What fails first and who must act?</t>
        </is>
      </c>
      <c r="F26" s="47" t="inlineStr">
        <is>
          <t>OPEN</t>
        </is>
      </c>
    </row>
    <row r="28" ht="15" customHeight="1" s="48">
      <c r="B28" s="60" t="inlineStr">
        <is>
          <t>Scenario families</t>
        </is>
      </c>
    </row>
    <row r="29" ht="15" customHeight="1" s="48">
      <c r="B29" s="61" t="inlineStr">
        <is>
          <t>#</t>
        </is>
      </c>
      <c r="C29" s="61" t="inlineStr">
        <is>
          <t>Requirement</t>
        </is>
      </c>
      <c r="D29" s="61" t="inlineStr">
        <is>
          <t>Owner</t>
        </is>
      </c>
      <c r="E29" s="61" t="inlineStr">
        <is>
          <t>Evidence / location</t>
        </is>
      </c>
      <c r="F29" s="61" t="inlineStr">
        <is>
          <t>Status</t>
        </is>
      </c>
    </row>
    <row r="30" ht="15" customHeight="1" s="48">
      <c r="B30" s="47" t="n">
        <v>1</v>
      </c>
      <c r="C30" s="47" t="inlineStr">
        <is>
          <t>base-rate and spread widening</t>
        </is>
      </c>
      <c r="F30" s="47" t="inlineStr">
        <is>
          <t>OPEN</t>
        </is>
      </c>
    </row>
    <row r="31" ht="15" customHeight="1" s="48">
      <c r="B31" s="47" t="n">
        <v>2</v>
      </c>
      <c r="C31" s="47" t="inlineStr">
        <is>
          <t>failed syndication / flex</t>
        </is>
      </c>
      <c r="F31" s="47" t="inlineStr">
        <is>
          <t>OPEN</t>
        </is>
      </c>
    </row>
    <row r="32" ht="15" customHeight="1" s="48">
      <c r="B32" s="47" t="n">
        <v>3</v>
      </c>
      <c r="C32" s="47" t="inlineStr">
        <is>
          <t>ratings downgrade</t>
        </is>
      </c>
      <c r="F32" s="47" t="inlineStr">
        <is>
          <t>OPEN</t>
        </is>
      </c>
    </row>
    <row r="33" ht="15" customHeight="1" s="48">
      <c r="B33" s="47" t="n">
        <v>4</v>
      </c>
      <c r="C33" s="47" t="inlineStr">
        <is>
          <t>data freshness / source failure</t>
        </is>
      </c>
      <c r="F33" s="47" t="inlineStr">
        <is>
          <t>OPEN</t>
        </is>
      </c>
    </row>
    <row r="34" ht="15" customHeight="1" s="48">
      <c r="B34" s="47" t="n">
        <v>5</v>
      </c>
      <c r="C34" s="47" t="inlineStr">
        <is>
          <t>combined severe-but-plausible downside</t>
        </is>
      </c>
      <c r="F34" s="47" t="inlineStr">
        <is>
          <t>OPEN</t>
        </is>
      </c>
    </row>
    <row r="36" ht="15" customHeight="1" s="48">
      <c r="B36" s="60" t="inlineStr">
        <is>
          <t>Primary diligence documents</t>
        </is>
      </c>
    </row>
    <row r="37" ht="15" customHeight="1" s="48">
      <c r="B37" s="61" t="inlineStr">
        <is>
          <t>#</t>
        </is>
      </c>
      <c r="C37" s="61" t="inlineStr">
        <is>
          <t>Requirement</t>
        </is>
      </c>
      <c r="D37" s="61" t="inlineStr">
        <is>
          <t>Owner</t>
        </is>
      </c>
      <c r="E37" s="61" t="inlineStr">
        <is>
          <t>Evidence / location</t>
        </is>
      </c>
      <c r="F37" s="61" t="inlineStr">
        <is>
          <t>Status</t>
        </is>
      </c>
    </row>
    <row r="38" ht="15" customHeight="1" s="48">
      <c r="B38" s="47" t="n">
        <v>1</v>
      </c>
      <c r="C38" s="47" t="inlineStr">
        <is>
          <t>bank proposals and commitment letters</t>
        </is>
      </c>
      <c r="F38" s="47" t="inlineStr">
        <is>
          <t>OPEN</t>
        </is>
      </c>
    </row>
    <row r="39" ht="15" customHeight="1" s="48">
      <c r="B39" s="47" t="n">
        <v>2</v>
      </c>
      <c r="C39" s="47" t="inlineStr">
        <is>
          <t>indentures / credit agreements</t>
        </is>
      </c>
      <c r="F39" s="47" t="inlineStr">
        <is>
          <t>OPEN</t>
        </is>
      </c>
    </row>
    <row r="40" ht="15" customHeight="1" s="48">
      <c r="B40" s="47" t="n">
        <v>3</v>
      </c>
      <c r="C40" s="47" t="inlineStr">
        <is>
          <t>rating-agency feedback</t>
        </is>
      </c>
      <c r="F40" s="47" t="inlineStr">
        <is>
          <t>OPEN</t>
        </is>
      </c>
    </row>
    <row r="41" ht="15" customHeight="1" s="48">
      <c r="B41" s="47" t="n">
        <v>4</v>
      </c>
      <c r="C41" s="47" t="inlineStr">
        <is>
          <t>approved model card and assumption register</t>
        </is>
      </c>
      <c r="F41" s="47" t="inlineStr">
        <is>
          <t>OPEN</t>
        </is>
      </c>
    </row>
    <row r="42" ht="15" customHeight="1" s="48">
      <c r="B42" s="47" t="n">
        <v>5</v>
      </c>
      <c r="C42" s="47" t="inlineStr">
        <is>
          <t>independent validation and challenge record</t>
        </is>
      </c>
      <c r="F42" s="47" t="inlineStr">
        <is>
          <t>OPEN</t>
        </is>
      </c>
    </row>
    <row r="44" ht="15" customHeight="1" s="48">
      <c r="B44" s="60" t="inlineStr">
        <is>
          <t>Challenge tests</t>
        </is>
      </c>
    </row>
    <row r="45" ht="15" customHeight="1" s="48">
      <c r="B45" s="61" t="inlineStr">
        <is>
          <t>#</t>
        </is>
      </c>
      <c r="C45" s="61" t="inlineStr">
        <is>
          <t>Requirement</t>
        </is>
      </c>
      <c r="D45" s="61" t="inlineStr">
        <is>
          <t>Owner</t>
        </is>
      </c>
      <c r="E45" s="61" t="inlineStr">
        <is>
          <t>Evidence / location</t>
        </is>
      </c>
      <c r="F45" s="61" t="inlineStr">
        <is>
          <t>Status</t>
        </is>
      </c>
    </row>
    <row r="46" ht="15" customHeight="1" s="48">
      <c r="B46" s="47" t="n">
        <v>1</v>
      </c>
      <c r="C46" s="47" t="inlineStr">
        <is>
          <t>sources and uses balance</t>
        </is>
      </c>
      <c r="F46" s="47" t="inlineStr">
        <is>
          <t>OPEN</t>
        </is>
      </c>
    </row>
    <row r="47" ht="15" customHeight="1" s="48">
      <c r="B47" s="47" t="n">
        <v>2</v>
      </c>
      <c r="C47" s="47" t="inlineStr">
        <is>
          <t>all-in yield includes fees and OID</t>
        </is>
      </c>
      <c r="F47" s="47" t="inlineStr">
        <is>
          <t>OPEN</t>
        </is>
      </c>
    </row>
    <row r="48" ht="15" customHeight="1" s="48">
      <c r="B48" s="47" t="n">
        <v>3</v>
      </c>
      <c r="C48" s="47" t="inlineStr">
        <is>
          <t>maturity ladder equals debt ledger</t>
        </is>
      </c>
      <c r="F48" s="47" t="inlineStr">
        <is>
          <t>OPEN</t>
        </is>
      </c>
    </row>
    <row r="49" ht="15" customHeight="1" s="48">
      <c r="B49" s="47" t="n">
        <v>4</v>
      </c>
      <c r="C49" s="47" t="inlineStr">
        <is>
          <t>source-to-model lineage is reproducible</t>
        </is>
      </c>
      <c r="F49" s="47" t="inlineStr">
        <is>
          <t>OPEN</t>
        </is>
      </c>
    </row>
    <row r="50" ht="15" customHeight="1" s="48">
      <c r="B50" s="47" t="n">
        <v>5</v>
      </c>
      <c r="C50" s="47" t="inlineStr">
        <is>
          <t>units, signs, dates and legal definitions reconcile</t>
        </is>
      </c>
      <c r="F50" s="47" t="inlineStr">
        <is>
          <t>OPEN</t>
        </is>
      </c>
    </row>
    <row r="52" ht="15" customHeight="1" s="48">
      <c r="B52" s="60" t="inlineStr">
        <is>
          <t>Known failure modes</t>
        </is>
      </c>
    </row>
    <row r="53" ht="15" customHeight="1" s="48">
      <c r="B53" s="61" t="inlineStr">
        <is>
          <t>#</t>
        </is>
      </c>
      <c r="C53" s="61" t="inlineStr">
        <is>
          <t>Requirement</t>
        </is>
      </c>
      <c r="D53" s="61" t="inlineStr">
        <is>
          <t>Owner</t>
        </is>
      </c>
      <c r="E53" s="61" t="inlineStr">
        <is>
          <t>Evidence / location</t>
        </is>
      </c>
      <c r="F53" s="61" t="inlineStr">
        <is>
          <t>Status</t>
        </is>
      </c>
    </row>
    <row r="54" ht="15" customHeight="1" s="48">
      <c r="B54" s="47" t="n">
        <v>1</v>
      </c>
      <c r="C54" s="47" t="inlineStr">
        <is>
          <t>quoting coupon instead of all-in cost</t>
        </is>
      </c>
      <c r="F54" s="47" t="inlineStr">
        <is>
          <t>OPEN</t>
        </is>
      </c>
    </row>
    <row r="55" ht="15" customHeight="1" s="48">
      <c r="B55" s="47" t="n">
        <v>2</v>
      </c>
      <c r="C55" s="47" t="inlineStr">
        <is>
          <t>missing ticking fees and flex</t>
        </is>
      </c>
      <c r="F55" s="47" t="inlineStr">
        <is>
          <t>OPEN</t>
        </is>
      </c>
    </row>
    <row r="56" ht="15" customHeight="1" s="48">
      <c r="B56" s="47" t="n">
        <v>3</v>
      </c>
      <c r="C56" s="47" t="inlineStr">
        <is>
          <t>assuming refinancing proceeds before conditions</t>
        </is>
      </c>
      <c r="F56" s="47" t="inlineStr">
        <is>
          <t>OPEN</t>
        </is>
      </c>
    </row>
    <row r="57" ht="15" customHeight="1" s="48">
      <c r="B57" s="47" t="n">
        <v>4</v>
      </c>
      <c r="C57" s="47" t="inlineStr">
        <is>
          <t>stale vintage presented as current</t>
        </is>
      </c>
      <c r="F57" s="47" t="inlineStr">
        <is>
          <t>OPEN</t>
        </is>
      </c>
    </row>
    <row r="58" ht="15" customHeight="1" s="48">
      <c r="B58" s="47" t="n">
        <v>5</v>
      </c>
      <c r="C58" s="47" t="inlineStr">
        <is>
          <t>decision output disconnected from a binding constraint</t>
        </is>
      </c>
      <c r="F58" s="47" t="inlineStr">
        <is>
          <t>OPEN</t>
        </is>
      </c>
    </row>
    <row r="60" ht="15" customHeight="1" s="48">
      <c r="B60" s="60" t="inlineStr">
        <is>
          <t>Regulatory / methodological anchors</t>
        </is>
      </c>
    </row>
    <row r="61" ht="15" customHeight="1" s="48">
      <c r="B61" s="61" t="inlineStr">
        <is>
          <t>Standard</t>
        </is>
      </c>
      <c r="C61" s="61" t="inlineStr">
        <is>
          <t>Scope</t>
        </is>
      </c>
      <c r="D61" s="61" t="inlineStr">
        <is>
          <t>Source URL</t>
        </is>
      </c>
      <c r="E61" s="61" t="inlineStr">
        <is>
          <t>Applicability</t>
        </is>
      </c>
      <c r="F61" s="61" t="inlineStr">
        <is>
          <t>Review note</t>
        </is>
      </c>
    </row>
    <row r="62" ht="15" customHeight="1" s="48">
      <c r="B62" s="47" t="inlineStr">
        <is>
          <t>Federal Reserve SR 26-2 Model Risk Management</t>
        </is>
      </c>
      <c r="C62" s="47" t="inlineStr">
        <is>
          <t>governance, validation, change control, monitoring</t>
        </is>
      </c>
      <c r="D62" s="47" t="inlineStr">
        <is>
          <t>https://www.federalreserve.gov/supervisionreg/srletters/SR2602.htm</t>
        </is>
      </c>
      <c r="E62" s="47" t="inlineStr">
        <is>
          <t>Map explicitly</t>
        </is>
      </c>
    </row>
    <row r="63" ht="15" customHeight="1" s="48">
      <c r="B63" s="47" t="inlineStr">
        <is>
          <t>Basel SRP31 IRRBB</t>
        </is>
      </c>
      <c r="C63" s="47" t="inlineStr">
        <is>
          <t>EVE/NII, basis and option risk</t>
        </is>
      </c>
      <c r="D63" s="47" t="inlineStr">
        <is>
          <t>https://www.bis.org/basel_framework/chapter/SRP/31.htm</t>
        </is>
      </c>
      <c r="E63" s="47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47" min="2" max="2"/>
    <col width="22" customWidth="1" style="47" min="3" max="3"/>
    <col width="52" customWidth="1" style="47" min="4" max="4"/>
    <col width="46" customWidth="1" style="47" min="5" max="5"/>
    <col width="36" customWidth="1" style="47" min="6" max="6"/>
    <col width="14" customWidth="1" style="47" min="7" max="7"/>
    <col width="18" customWidth="1" style="47" min="8" max="8"/>
    <col width="14" customWidth="1" style="47" min="9" max="9"/>
  </cols>
  <sheetData>
    <row r="2" ht="18.55" customHeight="1" s="48">
      <c r="B2" s="57" t="inlineStr">
        <is>
          <t>Independent Challenge, Override and Closure Log</t>
        </is>
      </c>
    </row>
    <row r="4" ht="15" customHeight="1" s="48">
      <c r="B4" s="61" t="inlineStr">
        <is>
          <t>Date</t>
        </is>
      </c>
      <c r="C4" s="61" t="inlineStr">
        <is>
          <t>Reviewer</t>
        </is>
      </c>
      <c r="D4" s="61" t="inlineStr">
        <is>
          <t>Challenge</t>
        </is>
      </c>
      <c r="E4" s="61" t="inlineStr">
        <is>
          <t>Owner response</t>
        </is>
      </c>
      <c r="F4" s="61" t="inlineStr">
        <is>
          <t>Evidence</t>
        </is>
      </c>
      <c r="G4" s="61" t="inlineStr">
        <is>
          <t>Impact</t>
        </is>
      </c>
      <c r="H4" s="61" t="inlineStr">
        <is>
          <t>Status</t>
        </is>
      </c>
      <c r="I4" s="61" t="inlineStr">
        <is>
          <t>Closure</t>
        </is>
      </c>
    </row>
    <row r="5" ht="15" customHeight="1" s="48">
      <c r="D5" s="47" t="inlineStr">
        <is>
          <t>sources and uses balance</t>
        </is>
      </c>
      <c r="H5" s="47" t="inlineStr">
        <is>
          <t>OPEN</t>
        </is>
      </c>
    </row>
    <row r="6" ht="15" customHeight="1" s="48">
      <c r="D6" s="47" t="inlineStr">
        <is>
          <t>all-in yield includes fees and OID</t>
        </is>
      </c>
      <c r="H6" s="47" t="inlineStr">
        <is>
          <t>OPEN</t>
        </is>
      </c>
    </row>
    <row r="7" ht="15" customHeight="1" s="48">
      <c r="D7" s="47" t="inlineStr">
        <is>
          <t>maturity ladder equals debt ledger</t>
        </is>
      </c>
      <c r="H7" s="47" t="inlineStr">
        <is>
          <t>OPEN</t>
        </is>
      </c>
    </row>
    <row r="8" ht="15" customHeight="1" s="48">
      <c r="D8" s="47" t="inlineStr">
        <is>
          <t>source-to-model lineage is reproducible</t>
        </is>
      </c>
      <c r="H8" s="47" t="inlineStr">
        <is>
          <t>OPEN</t>
        </is>
      </c>
    </row>
    <row r="9" ht="15" customHeight="1" s="48">
      <c r="D9" s="47" t="inlineStr">
        <is>
          <t>units, signs, dates and legal definitions reconcile</t>
        </is>
      </c>
      <c r="H9" s="47" t="inlineStr">
        <is>
          <t>OPEN</t>
        </is>
      </c>
    </row>
    <row r="10" ht="15" customHeight="1" s="48">
      <c r="H10" s="47" t="n"/>
    </row>
    <row r="11" ht="15" customHeight="1" s="48">
      <c r="H11" s="47" t="n"/>
    </row>
    <row r="12" ht="15" customHeight="1" s="48">
      <c r="H12" s="47" t="n"/>
    </row>
    <row r="13" ht="15" customHeight="1" s="48">
      <c r="H13" s="47" t="n"/>
    </row>
    <row r="14" ht="15" customHeight="1" s="48">
      <c r="H14" s="47" t="n"/>
    </row>
    <row r="15" ht="15" customHeight="1" s="48">
      <c r="H15" s="47" t="n"/>
    </row>
    <row r="16" ht="15" customHeight="1" s="48">
      <c r="H16" s="47" t="n"/>
    </row>
    <row r="17" ht="15" customHeight="1" s="48">
      <c r="H17" s="47" t="n"/>
    </row>
    <row r="18" ht="15" customHeight="1" s="48">
      <c r="H18" s="47" t="n"/>
    </row>
    <row r="19" ht="15" customHeight="1" s="48">
      <c r="H19" s="47" t="n"/>
    </row>
    <row r="20" ht="15" customHeight="1" s="48">
      <c r="H20" s="47" t="n"/>
    </row>
    <row r="21" ht="15" customHeight="1" s="48">
      <c r="H21" s="47" t="n"/>
    </row>
    <row r="22" ht="15" customHeight="1" s="48">
      <c r="H22" s="47" t="n"/>
    </row>
    <row r="23" ht="15" customHeight="1" s="48">
      <c r="H23" s="47" t="n"/>
    </row>
    <row r="24" ht="15" customHeight="1" s="48">
      <c r="H24" s="47" t="n"/>
    </row>
    <row r="25" ht="15" customHeight="1" s="48">
      <c r="H25" s="47" t="n"/>
    </row>
    <row r="26" ht="15" customHeight="1" s="48">
      <c r="H26" s="47" t="n"/>
    </row>
    <row r="27" ht="15" customHeight="1" s="48">
      <c r="H27" s="47" t="n"/>
    </row>
    <row r="28" ht="15" customHeight="1" s="48">
      <c r="H28" s="47" t="n"/>
    </row>
    <row r="29" ht="15" customHeight="1" s="48">
      <c r="H29" s="47" t="n"/>
    </row>
    <row r="30" ht="15" customHeight="1" s="48">
      <c r="H30" s="47" t="n"/>
    </row>
    <row r="31" ht="15" customHeight="1" s="48">
      <c r="H31" s="47" t="n"/>
    </row>
    <row r="32" ht="15" customHeight="1" s="48">
      <c r="H32" s="47" t="n"/>
    </row>
    <row r="33" ht="15" customHeight="1" s="48">
      <c r="H33" s="47" t="n"/>
    </row>
    <row r="34" ht="15" customHeight="1" s="48">
      <c r="H34" s="47" t="n"/>
    </row>
    <row r="35" ht="15" customHeight="1" s="48">
      <c r="H35" s="47" t="n"/>
    </row>
    <row r="36" ht="15" customHeight="1" s="48">
      <c r="H36" s="47" t="n"/>
    </row>
    <row r="37" ht="15" customHeight="1" s="48">
      <c r="H37" s="47" t="n"/>
    </row>
    <row r="38" ht="15" customHeight="1" s="48">
      <c r="H38" s="47" t="n"/>
    </row>
    <row r="39" ht="15" customHeight="1" s="48">
      <c r="H39" s="47" t="n"/>
    </row>
    <row r="40" ht="15" customHeight="1" s="48">
      <c r="H40" s="47" t="n"/>
    </row>
    <row r="41" ht="15" customHeight="1" s="48">
      <c r="H41" s="47" t="n"/>
    </row>
    <row r="42" ht="15" customHeight="1" s="48">
      <c r="H42" s="47" t="n"/>
    </row>
    <row r="43" ht="15" customHeight="1" s="48">
      <c r="H43" s="47" t="n"/>
    </row>
    <row r="44" ht="15" customHeight="1" s="48">
      <c r="H44" s="47" t="n"/>
    </row>
    <row r="45" ht="15" customHeight="1" s="48">
      <c r="H45" s="47" t="n"/>
    </row>
    <row r="46" ht="15" customHeight="1" s="48">
      <c r="H46" s="47" t="n"/>
    </row>
    <row r="47" ht="15" customHeight="1" s="48">
      <c r="H47" s="47" t="n"/>
    </row>
    <row r="48" ht="15" customHeight="1" s="48">
      <c r="H48" s="47" t="n"/>
    </row>
    <row r="49" ht="15" customHeight="1" s="48">
      <c r="H49" s="47" t="n"/>
    </row>
    <row r="50" ht="15" customHeight="1" s="48">
      <c r="H50" s="47" t="n"/>
    </row>
    <row r="51" ht="15" customHeight="1" s="48">
      <c r="H51" s="47" t="n"/>
    </row>
    <row r="52" ht="15" customHeight="1" s="48">
      <c r="H52" s="47" t="n"/>
    </row>
    <row r="53" ht="15" customHeight="1" s="48">
      <c r="H53" s="47" t="n"/>
    </row>
    <row r="54" ht="15" customHeight="1" s="48">
      <c r="H54" s="47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7" min="2" max="2"/>
    <col width="18" customWidth="1" style="47" min="3" max="3"/>
    <col width="42" customWidth="1" style="47" min="4" max="4"/>
    <col width="24" customWidth="1" style="47" min="5" max="5"/>
    <col width="18" customWidth="1" style="47" min="6" max="6"/>
    <col width="22" customWidth="1" style="47" min="7" max="7"/>
    <col width="42" customWidth="1" style="47" min="8" max="8"/>
    <col width="30" customWidth="1" style="47" min="9" max="9"/>
    <col width="15" customWidth="1" style="47" min="10" max="10"/>
  </cols>
  <sheetData>
    <row r="2" ht="18.55" customHeight="1" s="48">
      <c r="B2" s="57" t="inlineStr">
        <is>
          <t>Source, Transformation, Ownership and Refresh Map</t>
        </is>
      </c>
    </row>
    <row r="4" ht="15" customHeight="1" s="48">
      <c r="B4" s="61" t="inlineStr">
        <is>
          <t>Source class</t>
        </is>
      </c>
      <c r="C4" s="61" t="inlineStr">
        <is>
          <t>Cadence</t>
        </is>
      </c>
      <c r="D4" s="61" t="inlineStr">
        <is>
          <t>Control</t>
        </is>
      </c>
      <c r="E4" s="61" t="inlineStr">
        <is>
          <t>System / provider</t>
        </is>
      </c>
      <c r="F4" s="61" t="inlineStr">
        <is>
          <t>As-of</t>
        </is>
      </c>
      <c r="G4" s="61" t="inlineStr">
        <is>
          <t>Owner</t>
        </is>
      </c>
      <c r="H4" s="61" t="inlineStr">
        <is>
          <t>Transform</t>
        </is>
      </c>
      <c r="I4" s="61" t="inlineStr">
        <is>
          <t>Downstream</t>
        </is>
      </c>
      <c r="J4" s="61" t="inlineStr">
        <is>
          <t>Status</t>
        </is>
      </c>
    </row>
    <row r="5" ht="15" customHeight="1" s="48">
      <c r="B5" s="47" t="inlineStr">
        <is>
          <t>debt ledger</t>
        </is>
      </c>
      <c r="C5" s="47" t="inlineStr">
        <is>
          <t>daily/weekly</t>
        </is>
      </c>
      <c r="D5" s="47" t="inlineStr">
        <is>
          <t>principal and legal-entity reconciliation</t>
        </is>
      </c>
      <c r="J5" s="47" t="inlineStr">
        <is>
          <t>TO MAP</t>
        </is>
      </c>
    </row>
    <row r="6" ht="15" customHeight="1" s="48">
      <c r="B6" s="47" t="inlineStr">
        <is>
          <t>curves and spreads</t>
        </is>
      </c>
      <c r="C6" s="47" t="inlineStr">
        <is>
          <t>daily</t>
        </is>
      </c>
      <c r="D6" s="47" t="inlineStr">
        <is>
          <t>timestamped executable levels</t>
        </is>
      </c>
      <c r="J6" s="47" t="inlineStr">
        <is>
          <t>TO MAP</t>
        </is>
      </c>
    </row>
    <row r="7" ht="15" customHeight="1" s="48">
      <c r="B7" s="47" t="inlineStr">
        <is>
          <t>model governance evidence</t>
        </is>
      </c>
      <c r="C7" s="47" t="inlineStr">
        <is>
          <t>per release</t>
        </is>
      </c>
      <c r="D7" s="47" t="inlineStr">
        <is>
          <t>version, reviewer, sign-off and change log</t>
        </is>
      </c>
      <c r="J7" s="47" t="inlineStr">
        <is>
          <t>TO MAP</t>
        </is>
      </c>
    </row>
    <row r="8" ht="15" customHeight="1" s="48">
      <c r="B8" s="47" t="inlineStr">
        <is>
          <t>decision-use snapshot</t>
        </is>
      </c>
      <c r="C8" s="47" t="inlineStr">
        <is>
          <t>per decision</t>
        </is>
      </c>
      <c r="D8" s="47" t="inlineStr">
        <is>
          <t>immutable as-of date and source receipt</t>
        </is>
      </c>
      <c r="J8" s="47" t="inlineStr">
        <is>
          <t>TO MAP</t>
        </is>
      </c>
    </row>
    <row r="9" ht="15" customHeight="1" s="48">
      <c r="J9" s="47" t="n"/>
    </row>
    <row r="10" ht="15" customHeight="1" s="48">
      <c r="J10" s="47" t="n"/>
    </row>
    <row r="11" ht="15" customHeight="1" s="48">
      <c r="J11" s="47" t="n"/>
    </row>
    <row r="12" ht="15" customHeight="1" s="48">
      <c r="J12" s="47" t="n"/>
    </row>
    <row r="13" ht="15" customHeight="1" s="48">
      <c r="J13" s="47" t="n"/>
    </row>
    <row r="14" ht="15" customHeight="1" s="48">
      <c r="J14" s="47" t="n"/>
    </row>
    <row r="15" ht="15" customHeight="1" s="48">
      <c r="J15" s="47" t="n"/>
    </row>
    <row r="16" ht="15" customHeight="1" s="48">
      <c r="J16" s="47" t="n"/>
    </row>
    <row r="17" ht="15" customHeight="1" s="48">
      <c r="J17" s="47" t="n"/>
    </row>
    <row r="18" ht="15" customHeight="1" s="48">
      <c r="J18" s="47" t="n"/>
    </row>
    <row r="19" ht="15" customHeight="1" s="48">
      <c r="J19" s="47" t="n"/>
    </row>
    <row r="20" ht="15" customHeight="1" s="48">
      <c r="J20" s="47" t="n"/>
    </row>
    <row r="21" ht="15" customHeight="1" s="48">
      <c r="J21" s="47" t="n"/>
    </row>
    <row r="22" ht="15" customHeight="1" s="48">
      <c r="J22" s="47" t="n"/>
    </row>
    <row r="23" ht="15" customHeight="1" s="48">
      <c r="J23" s="47" t="n"/>
    </row>
    <row r="24" ht="15" customHeight="1" s="48">
      <c r="J24" s="47" t="n"/>
    </row>
    <row r="25" ht="15" customHeight="1" s="48">
      <c r="J25" s="47" t="n"/>
    </row>
    <row r="26" ht="15" customHeight="1" s="48">
      <c r="J26" s="47" t="n"/>
    </row>
    <row r="27" ht="15" customHeight="1" s="48">
      <c r="J27" s="47" t="n"/>
    </row>
    <row r="28" ht="15" customHeight="1" s="48">
      <c r="J28" s="47" t="n"/>
    </row>
    <row r="29" ht="15" customHeight="1" s="48">
      <c r="J29" s="47" t="n"/>
    </row>
    <row r="30" ht="15" customHeight="1" s="48">
      <c r="J30" s="47" t="n"/>
    </row>
    <row r="31" ht="15" customHeight="1" s="48">
      <c r="J31" s="47" t="n"/>
    </row>
    <row r="32" ht="15" customHeight="1" s="48">
      <c r="J32" s="47" t="n"/>
    </row>
    <row r="33" ht="15" customHeight="1" s="48">
      <c r="J33" s="47" t="n"/>
    </row>
    <row r="34" ht="15" customHeight="1" s="48">
      <c r="J34" s="47" t="n"/>
    </row>
    <row r="35" ht="15" customHeight="1" s="48">
      <c r="J35" s="47" t="n"/>
    </row>
    <row r="36" ht="15" customHeight="1" s="48">
      <c r="J36" s="47" t="n"/>
    </row>
    <row r="37" ht="15" customHeight="1" s="48">
      <c r="J37" s="47" t="n"/>
    </row>
    <row r="38" ht="15" customHeight="1" s="48">
      <c r="J38" s="47" t="n"/>
    </row>
    <row r="39" ht="15" customHeight="1" s="48">
      <c r="J39" s="47" t="n"/>
    </row>
    <row r="40" ht="15" customHeight="1" s="48">
      <c r="J40" s="47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6" customWidth="1" style="47" min="2" max="2"/>
    <col width="15" customWidth="1" style="47" min="3" max="5"/>
    <col width="30" customWidth="1" style="47" min="6" max="6"/>
  </cols>
  <sheetData>
    <row r="2" ht="27.75" customHeight="1" s="48">
      <c r="B2" s="49" t="inlineStr">
        <is>
          <t>Issuance &amp; Capital Structure Assumptions</t>
        </is>
      </c>
    </row>
    <row r="4" ht="15" customHeight="1" s="48">
      <c r="B4" s="62" t="inlineStr">
        <is>
          <t>Assumption</t>
        </is>
      </c>
      <c r="C4" s="62" t="inlineStr">
        <is>
          <t>Base</t>
        </is>
      </c>
      <c r="D4" s="62" t="inlineStr">
        <is>
          <t>Downside</t>
        </is>
      </c>
      <c r="E4" s="62" t="inlineStr">
        <is>
          <t>Active</t>
        </is>
      </c>
      <c r="F4" s="62" t="inlineStr">
        <is>
          <t>Note</t>
        </is>
      </c>
    </row>
    <row r="5" ht="15" customHeight="1" s="48">
      <c r="B5" s="47" t="inlineStr">
        <is>
          <t>EBITDA</t>
        </is>
      </c>
      <c r="C5" s="63" t="n">
        <v>120</v>
      </c>
      <c r="D5" s="63" t="n">
        <v>95</v>
      </c>
      <c r="E5" s="64">
        <f>IF(Cover!$C$9="Downside",D5,C5)</f>
        <v/>
      </c>
    </row>
    <row r="6" ht="15" customHeight="1" s="48">
      <c r="B6" s="47" t="inlineStr">
        <is>
          <t>Cash</t>
        </is>
      </c>
      <c r="C6" s="63" t="n">
        <v>40</v>
      </c>
      <c r="D6" s="63" t="n">
        <v>25</v>
      </c>
      <c r="E6" s="64">
        <f>IF(Cover!$C$9="Downside",D6,C6)</f>
        <v/>
      </c>
    </row>
    <row r="7" ht="15" customHeight="1" s="48">
      <c r="B7" s="47" t="inlineStr">
        <is>
          <t>Revolver drawn</t>
        </is>
      </c>
      <c r="C7" s="63" t="n">
        <v>25</v>
      </c>
      <c r="D7" s="63" t="n">
        <v>75</v>
      </c>
      <c r="E7" s="64">
        <f>IF(Cover!$C$9="Downside",D7,C7)</f>
        <v/>
      </c>
    </row>
    <row r="8" ht="15" customHeight="1" s="48">
      <c r="B8" s="47" t="inlineStr">
        <is>
          <t>Term loan</t>
        </is>
      </c>
      <c r="C8" s="63" t="n">
        <v>300</v>
      </c>
      <c r="D8" s="63" t="n">
        <v>300</v>
      </c>
      <c r="E8" s="64">
        <f>IF(Cover!$C$9="Downside",D8,C8)</f>
        <v/>
      </c>
    </row>
    <row r="9" ht="15" customHeight="1" s="48">
      <c r="B9" s="47" t="inlineStr">
        <is>
          <t>Senior notes</t>
        </is>
      </c>
      <c r="C9" s="63" t="n">
        <v>250</v>
      </c>
      <c r="D9" s="63" t="n">
        <v>250</v>
      </c>
      <c r="E9" s="64">
        <f>IF(Cover!$C$9="Downside",D9,C9)</f>
        <v/>
      </c>
    </row>
    <row r="10" ht="15" customHeight="1" s="48">
      <c r="B10" s="47" t="inlineStr">
        <is>
          <t>Other debt</t>
        </is>
      </c>
      <c r="C10" s="63" t="n">
        <v>50</v>
      </c>
      <c r="D10" s="63" t="n">
        <v>50</v>
      </c>
      <c r="E10" s="64">
        <f>IF(Cover!$C$9="Downside",D10,C10)</f>
        <v/>
      </c>
    </row>
    <row r="11" ht="15" customHeight="1" s="48">
      <c r="B11" s="47" t="inlineStr">
        <is>
          <t>Base rate</t>
        </is>
      </c>
      <c r="C11" s="65" t="n">
        <v>0.045</v>
      </c>
      <c r="D11" s="65" t="n">
        <v>0.06</v>
      </c>
      <c r="E11" s="66">
        <f>IF(Cover!$C$9="Downside",D11,C11)</f>
        <v/>
      </c>
    </row>
    <row r="12" ht="15" customHeight="1" s="48">
      <c r="B12" s="47" t="inlineStr">
        <is>
          <t>Revolver spread</t>
        </is>
      </c>
      <c r="C12" s="65" t="n">
        <v>0.025</v>
      </c>
      <c r="D12" s="65" t="n">
        <v>0.04</v>
      </c>
      <c r="E12" s="66">
        <f>IF(Cover!$C$9="Downside",D12,C12)</f>
        <v/>
      </c>
    </row>
    <row r="13" ht="15" customHeight="1" s="48">
      <c r="B13" s="47" t="inlineStr">
        <is>
          <t>Term loan spread</t>
        </is>
      </c>
      <c r="C13" s="65" t="n">
        <v>0.04</v>
      </c>
      <c r="D13" s="65" t="n">
        <v>0.06</v>
      </c>
      <c r="E13" s="66">
        <f>IF(Cover!$C$9="Downside",D13,C13)</f>
        <v/>
      </c>
    </row>
    <row r="14" ht="15" customHeight="1" s="48">
      <c r="B14" s="47" t="inlineStr">
        <is>
          <t>Senior notes coupon</t>
        </is>
      </c>
      <c r="C14" s="65" t="n">
        <v>0.055</v>
      </c>
      <c r="D14" s="65" t="n">
        <v>0.07000000000000001</v>
      </c>
      <c r="E14" s="66">
        <f>IF(Cover!$C$9="Downside",D14,C14)</f>
        <v/>
      </c>
    </row>
    <row r="15" ht="15" customHeight="1" s="48">
      <c r="B15" s="47" t="inlineStr">
        <is>
          <t>New issue spread</t>
        </is>
      </c>
      <c r="C15" s="65" t="n">
        <v>0.045</v>
      </c>
      <c r="D15" s="65" t="n">
        <v>0.075</v>
      </c>
      <c r="E15" s="66">
        <f>IF(Cover!$C$9="Downside",D15,C15)</f>
        <v/>
      </c>
    </row>
    <row r="16" ht="15" customHeight="1" s="48">
      <c r="B16" s="47" t="inlineStr">
        <is>
          <t>OID / fees</t>
        </is>
      </c>
      <c r="C16" s="65" t="n">
        <v>0.02</v>
      </c>
      <c r="D16" s="65" t="n">
        <v>0.03</v>
      </c>
      <c r="E16" s="66">
        <f>IF(Cover!$C$9="Downside",D16,C16)</f>
        <v/>
      </c>
    </row>
    <row r="17" ht="15" customHeight="1" s="48">
      <c r="B17" s="47" t="inlineStr">
        <is>
          <t>Minimum cash</t>
        </is>
      </c>
      <c r="C17" s="63" t="n">
        <v>25</v>
      </c>
      <c r="D17" s="63" t="n">
        <v>30</v>
      </c>
      <c r="E17" s="64">
        <f>IF(Cover!$C$9="Downside",D17,C17)</f>
        <v/>
      </c>
    </row>
    <row r="18" ht="15" customHeight="1" s="48">
      <c r="B18" s="47" t="inlineStr">
        <is>
          <t>Max leverage</t>
        </is>
      </c>
      <c r="C18" s="67" t="n">
        <v>5.5</v>
      </c>
      <c r="D18" s="67" t="n">
        <v>5</v>
      </c>
      <c r="E18" s="68">
        <f>IF(Cover!$C$9="Downside",D18,C18)</f>
        <v/>
      </c>
    </row>
    <row r="19" ht="15" customHeight="1" s="48">
      <c r="B19" s="47" t="inlineStr">
        <is>
          <t>Min interest coverage</t>
        </is>
      </c>
      <c r="C19" s="67" t="n">
        <v>2</v>
      </c>
      <c r="D19" s="67" t="n">
        <v>1.75</v>
      </c>
      <c r="E19" s="68">
        <f>IF(Cover!$C$9="Downside",D19,C19)</f>
        <v/>
      </c>
    </row>
    <row r="20" ht="15" customHeight="1" s="48">
      <c r="B20" s="47" t="inlineStr">
        <is>
          <t>Recovery multiple</t>
        </is>
      </c>
      <c r="C20" s="67" t="n">
        <v>5</v>
      </c>
      <c r="D20" s="67" t="n">
        <v>4</v>
      </c>
      <c r="E20" s="68">
        <f>IF(Cover!$C$9="Downside",D20,C20)</f>
        <v/>
      </c>
    </row>
    <row r="21" ht="15" customHeight="1" s="48">
      <c r="B21" s="47" t="inlineStr">
        <is>
          <t>EV haircut</t>
        </is>
      </c>
      <c r="C21" s="65" t="n">
        <v>0.2</v>
      </c>
      <c r="D21" s="65" t="n">
        <v>0.35</v>
      </c>
      <c r="E21" s="66">
        <f>IF(Cover!$C$9="Downside",D21,C21)</f>
        <v/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28" customWidth="1" style="47" min="2" max="2"/>
    <col width="16" customWidth="1" style="47" min="3" max="3"/>
    <col width="14" customWidth="1" style="47" min="4" max="4"/>
    <col width="18" customWidth="1" style="47" min="5" max="5"/>
    <col width="12" customWidth="1" style="47" min="6" max="6"/>
    <col width="14" customWidth="1" style="47" min="7" max="7"/>
  </cols>
  <sheetData>
    <row r="2" ht="27.75" customHeight="1" s="48">
      <c r="B2" s="49" t="inlineStr">
        <is>
          <t>Current Capital Structure</t>
        </is>
      </c>
    </row>
    <row r="4" ht="15" customHeight="1" s="48">
      <c r="B4" s="62" t="inlineStr">
        <is>
          <t>Instrument</t>
        </is>
      </c>
      <c r="C4" s="62" t="inlineStr">
        <is>
          <t>Balance</t>
        </is>
      </c>
      <c r="D4" s="62" t="inlineStr">
        <is>
          <t>Rate</t>
        </is>
      </c>
      <c r="E4" s="62" t="inlineStr">
        <is>
          <t>Annual interest</t>
        </is>
      </c>
      <c r="F4" s="62" t="inlineStr">
        <is>
          <t>Seniority</t>
        </is>
      </c>
      <c r="G4" s="62" t="inlineStr">
        <is>
          <t>Secured?</t>
        </is>
      </c>
    </row>
    <row r="5" ht="15" customHeight="1" s="48">
      <c r="B5" s="47" t="inlineStr">
        <is>
          <t>Revolver</t>
        </is>
      </c>
      <c r="C5" s="69">
        <f>Assumptions!E7</f>
        <v/>
      </c>
      <c r="D5" s="70">
        <f>Assumptions!E12</f>
        <v/>
      </c>
      <c r="E5" s="69">
        <f>C5*D5</f>
        <v/>
      </c>
      <c r="F5" s="47" t="inlineStr">
        <is>
          <t>1</t>
        </is>
      </c>
      <c r="G5" s="47" t="inlineStr">
        <is>
          <t>Yes</t>
        </is>
      </c>
    </row>
    <row r="6" ht="15" customHeight="1" s="48">
      <c r="B6" s="47" t="inlineStr">
        <is>
          <t>Term loan</t>
        </is>
      </c>
      <c r="C6" s="69">
        <f>Assumptions!E8</f>
        <v/>
      </c>
      <c r="D6" s="70">
        <f>Assumptions!E11+Assumptions!E13</f>
        <v/>
      </c>
      <c r="E6" s="69">
        <f>C6*D6</f>
        <v/>
      </c>
      <c r="F6" s="47" t="inlineStr">
        <is>
          <t>2</t>
        </is>
      </c>
      <c r="G6" s="47" t="inlineStr">
        <is>
          <t>Yes</t>
        </is>
      </c>
    </row>
    <row r="7" ht="15" customHeight="1" s="48">
      <c r="B7" s="47" t="inlineStr">
        <is>
          <t>Senior notes</t>
        </is>
      </c>
      <c r="C7" s="69">
        <f>Assumptions!E9</f>
        <v/>
      </c>
      <c r="D7" s="70">
        <f>Assumptions!E14</f>
        <v/>
      </c>
      <c r="E7" s="69">
        <f>C7*D7</f>
        <v/>
      </c>
      <c r="F7" s="47" t="inlineStr">
        <is>
          <t>3</t>
        </is>
      </c>
      <c r="G7" s="47" t="inlineStr">
        <is>
          <t>No</t>
        </is>
      </c>
    </row>
    <row r="8" ht="15" customHeight="1" s="48">
      <c r="B8" s="47" t="inlineStr">
        <is>
          <t>Other debt</t>
        </is>
      </c>
      <c r="C8" s="69">
        <f>Assumptions!E10</f>
        <v/>
      </c>
      <c r="D8" s="70">
        <f>Assumptions!E14</f>
        <v/>
      </c>
      <c r="E8" s="69">
        <f>C8*D8</f>
        <v/>
      </c>
      <c r="F8" s="47" t="inlineStr">
        <is>
          <t>4</t>
        </is>
      </c>
      <c r="G8" s="47" t="inlineStr">
        <is>
          <t>Varies</t>
        </is>
      </c>
    </row>
    <row r="10" ht="15" customHeight="1" s="48">
      <c r="B10" s="71" t="inlineStr">
        <is>
          <t>Gross debt</t>
        </is>
      </c>
      <c r="C10" s="72">
        <f>SUM(C5:C8)</f>
        <v/>
      </c>
    </row>
    <row r="11" ht="15" customHeight="1" s="48">
      <c r="B11" s="71" t="inlineStr">
        <is>
          <t>Net debt</t>
        </is>
      </c>
      <c r="C11" s="72">
        <f>C10-Assumptions!E6</f>
        <v/>
      </c>
    </row>
    <row r="12" ht="15" customHeight="1" s="48">
      <c r="B12" s="71" t="inlineStr">
        <is>
          <t>Cash interest</t>
        </is>
      </c>
      <c r="C12" s="72">
        <f>SUM(E5:E8)</f>
        <v/>
      </c>
    </row>
    <row r="13" ht="15" customHeight="1" s="48">
      <c r="B13" s="71" t="inlineStr">
        <is>
          <t>Gross leverage</t>
        </is>
      </c>
      <c r="C13" s="73">
        <f>IFERROR(C10/Assumptions!E5,0)</f>
        <v/>
      </c>
    </row>
    <row r="14" ht="15" customHeight="1" s="48">
      <c r="B14" s="71" t="inlineStr">
        <is>
          <t>Net leverage</t>
        </is>
      </c>
      <c r="C14" s="73">
        <f>IFERROR(C11/Assumptions!E5,0)</f>
        <v/>
      </c>
    </row>
    <row r="15" ht="15" customHeight="1" s="48">
      <c r="B15" s="71" t="inlineStr">
        <is>
          <t>Interest coverage</t>
        </is>
      </c>
      <c r="C15" s="73">
        <f>IFERROR(Assumptions!E5/C12,0)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26" customWidth="1" style="47" min="2" max="2"/>
    <col width="13" customWidth="1" style="47" min="3" max="8"/>
  </cols>
  <sheetData>
    <row r="2" ht="27.75" customHeight="1" s="48">
      <c r="B2" s="49" t="inlineStr">
        <is>
          <t>Contractual Maturity Ladder</t>
        </is>
      </c>
    </row>
    <row r="4" ht="15" customHeight="1" s="48">
      <c r="B4" s="62" t="inlineStr">
        <is>
          <t>Instrument</t>
        </is>
      </c>
      <c r="C4" s="62" t="inlineStr">
        <is>
          <t>Year 1</t>
        </is>
      </c>
      <c r="D4" s="62" t="inlineStr">
        <is>
          <t>Year 2</t>
        </is>
      </c>
      <c r="E4" s="62" t="inlineStr">
        <is>
          <t>Year 3</t>
        </is>
      </c>
      <c r="F4" s="62" t="inlineStr">
        <is>
          <t>Year 4</t>
        </is>
      </c>
      <c r="G4" s="62" t="inlineStr">
        <is>
          <t>Year 5</t>
        </is>
      </c>
      <c r="H4" s="62" t="inlineStr">
        <is>
          <t>Beyond</t>
        </is>
      </c>
    </row>
    <row r="5" ht="15" customHeight="1" s="48">
      <c r="B5" s="47" t="inlineStr">
        <is>
          <t>Revolver</t>
        </is>
      </c>
      <c r="C5" s="63" t="n">
        <v>0</v>
      </c>
      <c r="D5" s="63" t="n">
        <v>0</v>
      </c>
      <c r="E5" s="63" t="n">
        <v>25</v>
      </c>
      <c r="F5" s="63" t="n">
        <v>0</v>
      </c>
      <c r="G5" s="63" t="n">
        <v>0</v>
      </c>
      <c r="H5" s="63" t="n">
        <v>0</v>
      </c>
    </row>
    <row r="6" ht="15" customHeight="1" s="48">
      <c r="B6" s="47" t="inlineStr">
        <is>
          <t>Term loan</t>
        </is>
      </c>
      <c r="C6" s="63" t="n">
        <v>3</v>
      </c>
      <c r="D6" s="63" t="n">
        <v>3</v>
      </c>
      <c r="E6" s="63" t="n">
        <v>3</v>
      </c>
      <c r="F6" s="63" t="n">
        <v>3</v>
      </c>
      <c r="G6" s="63" t="n">
        <v>288</v>
      </c>
      <c r="H6" s="63" t="n">
        <v>0</v>
      </c>
    </row>
    <row r="7" ht="15" customHeight="1" s="48">
      <c r="B7" s="47" t="inlineStr">
        <is>
          <t>Senior notes</t>
        </is>
      </c>
      <c r="C7" s="63" t="n">
        <v>0</v>
      </c>
      <c r="D7" s="63" t="n">
        <v>0</v>
      </c>
      <c r="E7" s="63" t="n">
        <v>0</v>
      </c>
      <c r="F7" s="63" t="n">
        <v>0</v>
      </c>
      <c r="G7" s="63" t="n">
        <v>0</v>
      </c>
      <c r="H7" s="63" t="n">
        <v>250</v>
      </c>
    </row>
    <row r="8" ht="15" customHeight="1" s="48">
      <c r="B8" s="47" t="inlineStr">
        <is>
          <t>Other debt</t>
        </is>
      </c>
      <c r="C8" s="63" t="n">
        <v>10</v>
      </c>
      <c r="D8" s="63" t="n">
        <v>10</v>
      </c>
      <c r="E8" s="63" t="n">
        <v>10</v>
      </c>
      <c r="F8" s="63" t="n">
        <v>10</v>
      </c>
      <c r="G8" s="63" t="n">
        <v>10</v>
      </c>
      <c r="H8" s="63" t="n">
        <v>0</v>
      </c>
    </row>
    <row r="10" ht="15" customHeight="1" s="48">
      <c r="B10" s="71" t="inlineStr">
        <is>
          <t>Total maturities</t>
        </is>
      </c>
      <c r="C10" s="72">
        <f>SUM(C5:C8)</f>
        <v/>
      </c>
      <c r="D10" s="72">
        <f>SUM(D5:D8)</f>
        <v/>
      </c>
      <c r="E10" s="72">
        <f>SUM(E5:E8)</f>
        <v/>
      </c>
      <c r="F10" s="72">
        <f>SUM(F5:F8)</f>
        <v/>
      </c>
      <c r="G10" s="72">
        <f>SUM(G5:G8)</f>
        <v/>
      </c>
      <c r="H10" s="72">
        <f>SUM(H5:H8)</f>
        <v/>
      </c>
    </row>
    <row r="12" ht="15" customHeight="1" s="48">
      <c r="B12" s="47" t="inlineStr">
        <is>
          <t>Cumulative maturities / gross debt</t>
        </is>
      </c>
      <c r="C12" s="70">
        <f>IFERROR(SUM($C$10:C10)/'Capital Structure'!$C$10,0)</f>
        <v/>
      </c>
      <c r="D12" s="70">
        <f>IFERROR(SUM($C$10:D10)/'Capital Structure'!$C$10,0)</f>
        <v/>
      </c>
      <c r="E12" s="70">
        <f>IFERROR(SUM($C$10:E10)/'Capital Structure'!$C$10,0)</f>
        <v/>
      </c>
      <c r="F12" s="70">
        <f>IFERROR(SUM($C$10:F10)/'Capital Structure'!$C$10,0)</f>
        <v/>
      </c>
      <c r="G12" s="70">
        <f>IFERROR(SUM($C$10:G10)/'Capital Structure'!$C$10,0)</f>
        <v/>
      </c>
      <c r="H12" s="70">
        <f>IFERROR(SUM($C$10:H10)/'Capital Structure'!$C$10,0)</f>
        <v/>
      </c>
    </row>
    <row r="15" ht="15" customHeight="1" s="48">
      <c r="B15" s="47" t="inlineStr">
        <is>
          <t>Near-term maturities (Years 1-2)</t>
        </is>
      </c>
      <c r="C15" s="74">
        <f>SUM(C10:D10)</f>
        <v/>
      </c>
    </row>
    <row r="16" ht="15" customHeight="1" s="48">
      <c r="B16" s="47" t="inlineStr">
        <is>
          <t>Available cash and committed lines</t>
        </is>
      </c>
      <c r="C16" s="75" t="n">
        <v>150</v>
      </c>
    </row>
    <row r="17" ht="15" customHeight="1" s="48">
      <c r="B17" s="47" t="inlineStr">
        <is>
          <t>Refinancing gap</t>
        </is>
      </c>
      <c r="C17" s="74">
        <f>MAX(0,C15-C16)</f>
        <v/>
      </c>
    </row>
    <row r="18" ht="15" customHeight="1" s="48">
      <c r="B18" s="47" t="inlineStr">
        <is>
          <t>Largest maturity / total</t>
        </is>
      </c>
      <c r="C18" s="76">
        <f>IFERROR(MAX(C10:H10)/SUM(C10:H10),0)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G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28" customWidth="1" style="47" min="2" max="2"/>
    <col width="16" customWidth="1" style="47" min="3" max="3"/>
    <col width="26" customWidth="1" style="47" min="4" max="4"/>
    <col width="16" customWidth="1" style="47" min="5" max="5"/>
    <col width="20" customWidth="1" style="47" min="6" max="6"/>
    <col width="14" customWidth="1" style="47" min="7" max="7"/>
  </cols>
  <sheetData>
    <row r="2" ht="27.75" customHeight="1" s="48">
      <c r="B2" s="49" t="inlineStr">
        <is>
          <t>Refinancing Sources &amp; Uses</t>
        </is>
      </c>
    </row>
    <row r="4" ht="15" customHeight="1" s="48">
      <c r="B4" s="62" t="inlineStr">
        <is>
          <t>Uses</t>
        </is>
      </c>
      <c r="C4" s="62" t="inlineStr">
        <is>
          <t>Amount</t>
        </is>
      </c>
      <c r="D4" s="62" t="inlineStr">
        <is>
          <t>Sources</t>
        </is>
      </c>
      <c r="E4" s="62" t="inlineStr">
        <is>
          <t>Amount</t>
        </is>
      </c>
      <c r="F4" s="62" t="inlineStr">
        <is>
          <t>Pricing / note</t>
        </is>
      </c>
      <c r="G4" s="62" t="inlineStr">
        <is>
          <t>Status</t>
        </is>
      </c>
    </row>
    <row r="5" ht="15" customHeight="1" s="48">
      <c r="B5" s="47" t="inlineStr">
        <is>
          <t>Refinance current debt</t>
        </is>
      </c>
      <c r="C5" s="69">
        <f>'Capital Structure'!C10</f>
        <v/>
      </c>
      <c r="D5" s="47" t="inlineStr">
        <is>
          <t>New term debt</t>
        </is>
      </c>
      <c r="E5" s="69">
        <f>SUM(C5:C7)</f>
        <v/>
      </c>
      <c r="F5" s="77">
        <f>Assumptions!E15+Assumptions!E16/7</f>
        <v/>
      </c>
    </row>
    <row r="6" ht="15" customHeight="1" s="48">
      <c r="B6" s="47" t="inlineStr">
        <is>
          <t>Minimum cash funding</t>
        </is>
      </c>
      <c r="C6" s="69">
        <f>MAX(0,Assumptions!E17-Assumptions!E6)</f>
        <v/>
      </c>
      <c r="D6" s="47" t="inlineStr">
        <is>
          <t>Existing cash</t>
        </is>
      </c>
      <c r="E6" s="69">
        <f>MAX(0,Assumptions!E6-Assumptions!E17)</f>
        <v/>
      </c>
    </row>
    <row r="7" ht="15" customHeight="1" s="48">
      <c r="B7" s="47" t="inlineStr">
        <is>
          <t>Fees / OID</t>
        </is>
      </c>
      <c r="C7" s="69">
        <f>C5*Assumptions!E16</f>
        <v/>
      </c>
      <c r="D7" s="47" t="inlineStr">
        <is>
          <t>Equity / other</t>
        </is>
      </c>
      <c r="E7" s="69">
        <f>MAX(0,C8-E5-E6)</f>
        <v/>
      </c>
    </row>
    <row r="8" ht="15" customHeight="1" s="48">
      <c r="B8" s="47" t="inlineStr">
        <is>
          <t>Total uses</t>
        </is>
      </c>
      <c r="C8" s="69">
        <f>SUM(C5:C7)</f>
        <v/>
      </c>
      <c r="D8" s="47" t="inlineStr">
        <is>
          <t>Total sources</t>
        </is>
      </c>
      <c r="E8" s="69">
        <f>SUM(E5:E7)</f>
        <v/>
      </c>
      <c r="G8" s="47">
        <f>IF(ABS(C8-E8)&lt;0.01,"PASS","FAIL")</f>
        <v/>
      </c>
    </row>
    <row r="10" ht="15" customHeight="1" s="48">
      <c r="B10" s="47" t="inlineStr">
        <is>
          <t>Pro forma gross leverage</t>
        </is>
      </c>
      <c r="C10" s="78">
        <f>IFERROR(E5/Assumptions!E5,0)</f>
        <v/>
      </c>
    </row>
    <row r="11" ht="15" customHeight="1" s="48">
      <c r="B11" s="47" t="inlineStr">
        <is>
          <t>Pro forma annual cash interest</t>
        </is>
      </c>
      <c r="C11" s="69">
        <f>E5*F5</f>
        <v/>
      </c>
    </row>
    <row r="12" ht="15" customHeight="1" s="48">
      <c r="B12" s="47" t="inlineStr">
        <is>
          <t>Pro forma interest coverage</t>
        </is>
      </c>
      <c r="C12" s="78">
        <f>IFERROR(Assumptions!E5/C11,0)</f>
        <v/>
      </c>
    </row>
  </sheetData>
  <mergeCells count="1">
    <mergeCell ref="B2:G2"/>
  </mergeCells>
  <conditionalFormatting sqref="G8">
    <cfRule type="expression" rank="0" priority="2" equalAverage="0" aboveAverage="0" dxfId="0" text="" percent="0" bottom="0">
      <formula>G8="PASS"</formula>
    </cfRule>
    <cfRule type="expression" rank="0" priority="3" equalAverage="0" aboveAverage="0" dxfId="1" text="" percent="0" bottom="0">
      <formula>G8="FAIL"</formula>
    </cfRule>
    <cfRule type="expression" rank="0" priority="4" equalAverage="0" aboveAverage="0" dxfId="2" text="" percent="0" bottom="0">
      <formula>G8="REVIEW"</formula>
    </cfRule>
    <cfRule type="expression" rank="0" priority="5" equalAverage="0" aboveAverage="0" dxfId="1" text="" percent="0" bottom="0">
      <formula>G8="BREACH"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2" customWidth="1" style="47" min="2" max="2"/>
    <col width="14" customWidth="1" style="47" min="3" max="7"/>
  </cols>
  <sheetData>
    <row r="2" ht="27.75" customHeight="1" s="48">
      <c r="B2" s="49" t="inlineStr">
        <is>
          <t>Interest Rate &amp; Spread Sensitivity</t>
        </is>
      </c>
    </row>
    <row r="4" ht="15" customHeight="1" s="48">
      <c r="B4" s="62" t="inlineStr">
        <is>
          <t>Base-rate shock / spread shock</t>
        </is>
      </c>
      <c r="C4" s="79" t="n">
        <v>-100</v>
      </c>
      <c r="D4" s="79" t="n">
        <v>0</v>
      </c>
      <c r="E4" s="79" t="n">
        <v>100</v>
      </c>
      <c r="F4" s="79" t="n">
        <v>200</v>
      </c>
      <c r="G4" s="79" t="n">
        <v>300</v>
      </c>
    </row>
    <row r="5" ht="15" customHeight="1" s="48">
      <c r="B5" s="80" t="n">
        <v>-100</v>
      </c>
      <c r="C5" s="69">
        <f>'Capital Structure'!$C$5*MAX(0,Assumptions!$E$11+Assumptions!$E$12+($B5+C$4)/10000)+'Capital Structure'!$C$6*MAX(0,Assumptions!$E$11+Assumptions!$E$13+($B5+C$4)/10000)+'Capital Structure'!$E$7+'Capital Structure'!$E$8</f>
        <v/>
      </c>
      <c r="D5" s="69">
        <f>'Capital Structure'!$C$5*MAX(0,Assumptions!$E$11+Assumptions!$E$12+($B5+D$4)/10000)+'Capital Structure'!$C$6*MAX(0,Assumptions!$E$11+Assumptions!$E$13+($B5+D$4)/10000)+'Capital Structure'!$E$7+'Capital Structure'!$E$8</f>
        <v/>
      </c>
      <c r="E5" s="69">
        <f>'Capital Structure'!$C$5*MAX(0,Assumptions!$E$11+Assumptions!$E$12+($B5+E$4)/10000)+'Capital Structure'!$C$6*MAX(0,Assumptions!$E$11+Assumptions!$E$13+($B5+E$4)/10000)+'Capital Structure'!$E$7+'Capital Structure'!$E$8</f>
        <v/>
      </c>
      <c r="F5" s="69">
        <f>'Capital Structure'!$C$5*MAX(0,Assumptions!$E$11+Assumptions!$E$12+($B5+F$4)/10000)+'Capital Structure'!$C$6*MAX(0,Assumptions!$E$11+Assumptions!$E$13+($B5+F$4)/10000)+'Capital Structure'!$E$7+'Capital Structure'!$E$8</f>
        <v/>
      </c>
      <c r="G5" s="69">
        <f>'Capital Structure'!$C$5*MAX(0,Assumptions!$E$11+Assumptions!$E$12+($B5+G$4)/10000)+'Capital Structure'!$C$6*MAX(0,Assumptions!$E$11+Assumptions!$E$13+($B5+G$4)/10000)+'Capital Structure'!$E$7+'Capital Structure'!$E$8</f>
        <v/>
      </c>
    </row>
    <row r="6" ht="15" customHeight="1" s="48">
      <c r="B6" s="80" t="n">
        <v>0</v>
      </c>
      <c r="C6" s="69">
        <f>'Capital Structure'!$C$5*MAX(0,Assumptions!$E$11+Assumptions!$E$12+($B6+C$4)/10000)+'Capital Structure'!$C$6*MAX(0,Assumptions!$E$11+Assumptions!$E$13+($B6+C$4)/10000)+'Capital Structure'!$E$7+'Capital Structure'!$E$8</f>
        <v/>
      </c>
      <c r="D6" s="69">
        <f>'Capital Structure'!$C$5*MAX(0,Assumptions!$E$11+Assumptions!$E$12+($B6+D$4)/10000)+'Capital Structure'!$C$6*MAX(0,Assumptions!$E$11+Assumptions!$E$13+($B6+D$4)/10000)+'Capital Structure'!$E$7+'Capital Structure'!$E$8</f>
        <v/>
      </c>
      <c r="E6" s="69">
        <f>'Capital Structure'!$C$5*MAX(0,Assumptions!$E$11+Assumptions!$E$12+($B6+E$4)/10000)+'Capital Structure'!$C$6*MAX(0,Assumptions!$E$11+Assumptions!$E$13+($B6+E$4)/10000)+'Capital Structure'!$E$7+'Capital Structure'!$E$8</f>
        <v/>
      </c>
      <c r="F6" s="69">
        <f>'Capital Structure'!$C$5*MAX(0,Assumptions!$E$11+Assumptions!$E$12+($B6+F$4)/10000)+'Capital Structure'!$C$6*MAX(0,Assumptions!$E$11+Assumptions!$E$13+($B6+F$4)/10000)+'Capital Structure'!$E$7+'Capital Structure'!$E$8</f>
        <v/>
      </c>
      <c r="G6" s="69">
        <f>'Capital Structure'!$C$5*MAX(0,Assumptions!$E$11+Assumptions!$E$12+($B6+G$4)/10000)+'Capital Structure'!$C$6*MAX(0,Assumptions!$E$11+Assumptions!$E$13+($B6+G$4)/10000)+'Capital Structure'!$E$7+'Capital Structure'!$E$8</f>
        <v/>
      </c>
    </row>
    <row r="7" ht="15" customHeight="1" s="48">
      <c r="B7" s="80" t="n">
        <v>100</v>
      </c>
      <c r="C7" s="69">
        <f>'Capital Structure'!$C$5*MAX(0,Assumptions!$E$11+Assumptions!$E$12+($B7+C$4)/10000)+'Capital Structure'!$C$6*MAX(0,Assumptions!$E$11+Assumptions!$E$13+($B7+C$4)/10000)+'Capital Structure'!$E$7+'Capital Structure'!$E$8</f>
        <v/>
      </c>
      <c r="D7" s="69">
        <f>'Capital Structure'!$C$5*MAX(0,Assumptions!$E$11+Assumptions!$E$12+($B7+D$4)/10000)+'Capital Structure'!$C$6*MAX(0,Assumptions!$E$11+Assumptions!$E$13+($B7+D$4)/10000)+'Capital Structure'!$E$7+'Capital Structure'!$E$8</f>
        <v/>
      </c>
      <c r="E7" s="69">
        <f>'Capital Structure'!$C$5*MAX(0,Assumptions!$E$11+Assumptions!$E$12+($B7+E$4)/10000)+'Capital Structure'!$C$6*MAX(0,Assumptions!$E$11+Assumptions!$E$13+($B7+E$4)/10000)+'Capital Structure'!$E$7+'Capital Structure'!$E$8</f>
        <v/>
      </c>
      <c r="F7" s="69">
        <f>'Capital Structure'!$C$5*MAX(0,Assumptions!$E$11+Assumptions!$E$12+($B7+F$4)/10000)+'Capital Structure'!$C$6*MAX(0,Assumptions!$E$11+Assumptions!$E$13+($B7+F$4)/10000)+'Capital Structure'!$E$7+'Capital Structure'!$E$8</f>
        <v/>
      </c>
      <c r="G7" s="69">
        <f>'Capital Structure'!$C$5*MAX(0,Assumptions!$E$11+Assumptions!$E$12+($B7+G$4)/10000)+'Capital Structure'!$C$6*MAX(0,Assumptions!$E$11+Assumptions!$E$13+($B7+G$4)/10000)+'Capital Structure'!$E$7+'Capital Structure'!$E$8</f>
        <v/>
      </c>
    </row>
    <row r="8" ht="15" customHeight="1" s="48">
      <c r="B8" s="80" t="n">
        <v>200</v>
      </c>
      <c r="C8" s="69">
        <f>'Capital Structure'!$C$5*MAX(0,Assumptions!$E$11+Assumptions!$E$12+($B8+C$4)/10000)+'Capital Structure'!$C$6*MAX(0,Assumptions!$E$11+Assumptions!$E$13+($B8+C$4)/10000)+'Capital Structure'!$E$7+'Capital Structure'!$E$8</f>
        <v/>
      </c>
      <c r="D8" s="69">
        <f>'Capital Structure'!$C$5*MAX(0,Assumptions!$E$11+Assumptions!$E$12+($B8+D$4)/10000)+'Capital Structure'!$C$6*MAX(0,Assumptions!$E$11+Assumptions!$E$13+($B8+D$4)/10000)+'Capital Structure'!$E$7+'Capital Structure'!$E$8</f>
        <v/>
      </c>
      <c r="E8" s="69">
        <f>'Capital Structure'!$C$5*MAX(0,Assumptions!$E$11+Assumptions!$E$12+($B8+E$4)/10000)+'Capital Structure'!$C$6*MAX(0,Assumptions!$E$11+Assumptions!$E$13+($B8+E$4)/10000)+'Capital Structure'!$E$7+'Capital Structure'!$E$8</f>
        <v/>
      </c>
      <c r="F8" s="69">
        <f>'Capital Structure'!$C$5*MAX(0,Assumptions!$E$11+Assumptions!$E$12+($B8+F$4)/10000)+'Capital Structure'!$C$6*MAX(0,Assumptions!$E$11+Assumptions!$E$13+($B8+F$4)/10000)+'Capital Structure'!$E$7+'Capital Structure'!$E$8</f>
        <v/>
      </c>
      <c r="G8" s="69">
        <f>'Capital Structure'!$C$5*MAX(0,Assumptions!$E$11+Assumptions!$E$12+($B8+G$4)/10000)+'Capital Structure'!$C$6*MAX(0,Assumptions!$E$11+Assumptions!$E$13+($B8+G$4)/10000)+'Capital Structure'!$E$7+'Capital Structure'!$E$8</f>
        <v/>
      </c>
    </row>
    <row r="9" ht="15" customHeight="1" s="48">
      <c r="B9" s="80" t="n">
        <v>300</v>
      </c>
      <c r="C9" s="69">
        <f>'Capital Structure'!$C$5*MAX(0,Assumptions!$E$11+Assumptions!$E$12+($B9+C$4)/10000)+'Capital Structure'!$C$6*MAX(0,Assumptions!$E$11+Assumptions!$E$13+($B9+C$4)/10000)+'Capital Structure'!$E$7+'Capital Structure'!$E$8</f>
        <v/>
      </c>
      <c r="D9" s="69">
        <f>'Capital Structure'!$C$5*MAX(0,Assumptions!$E$11+Assumptions!$E$12+($B9+D$4)/10000)+'Capital Structure'!$C$6*MAX(0,Assumptions!$E$11+Assumptions!$E$13+($B9+D$4)/10000)+'Capital Structure'!$E$7+'Capital Structure'!$E$8</f>
        <v/>
      </c>
      <c r="E9" s="69">
        <f>'Capital Structure'!$C$5*MAX(0,Assumptions!$E$11+Assumptions!$E$12+($B9+E$4)/10000)+'Capital Structure'!$C$6*MAX(0,Assumptions!$E$11+Assumptions!$E$13+($B9+E$4)/10000)+'Capital Structure'!$E$7+'Capital Structure'!$E$8</f>
        <v/>
      </c>
      <c r="F9" s="69">
        <f>'Capital Structure'!$C$5*MAX(0,Assumptions!$E$11+Assumptions!$E$12+($B9+F$4)/10000)+'Capital Structure'!$C$6*MAX(0,Assumptions!$E$11+Assumptions!$E$13+($B9+F$4)/10000)+'Capital Structure'!$E$7+'Capital Structure'!$E$8</f>
        <v/>
      </c>
      <c r="G9" s="69">
        <f>'Capital Structure'!$C$5*MAX(0,Assumptions!$E$11+Assumptions!$E$12+($B9+G$4)/10000)+'Capital Structure'!$C$6*MAX(0,Assumptions!$E$11+Assumptions!$E$13+($B9+G$4)/10000)+'Capital Structure'!$E$7+'Capital Structure'!$E$8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2" customWidth="1" style="47" min="2" max="2"/>
    <col width="18" customWidth="1" style="47" min="3" max="4"/>
    <col width="22" customWidth="1" style="47" min="5" max="5"/>
  </cols>
  <sheetData>
    <row r="2" ht="27.75" customHeight="1" s="48">
      <c r="B2" s="49" t="inlineStr">
        <is>
          <t>Covenant &amp; Rating Screens</t>
        </is>
      </c>
    </row>
    <row r="4" ht="15" customHeight="1" s="48">
      <c r="B4" s="62" t="inlineStr">
        <is>
          <t>Metric</t>
        </is>
      </c>
      <c r="C4" s="62" t="inlineStr">
        <is>
          <t>Actual</t>
        </is>
      </c>
      <c r="D4" s="62" t="inlineStr">
        <is>
          <t>Threshold</t>
        </is>
      </c>
      <c r="E4" s="62" t="inlineStr">
        <is>
          <t>Headroom / status</t>
        </is>
      </c>
    </row>
    <row r="5" ht="15" customHeight="1" s="48">
      <c r="B5" s="47" t="inlineStr">
        <is>
          <t>Gross leverage</t>
        </is>
      </c>
      <c r="C5" s="78">
        <f>'Capital Structure'!C13</f>
        <v/>
      </c>
      <c r="D5" s="78">
        <f>Assumptions!E18</f>
        <v/>
      </c>
      <c r="E5" s="78">
        <f>D5-C5</f>
        <v/>
      </c>
    </row>
    <row r="6" ht="15" customHeight="1" s="48">
      <c r="B6" s="47" t="inlineStr">
        <is>
          <t>Interest coverage</t>
        </is>
      </c>
      <c r="C6" s="78">
        <f>'Capital Structure'!C15</f>
        <v/>
      </c>
      <c r="D6" s="78">
        <f>Assumptions!E19</f>
        <v/>
      </c>
      <c r="E6" s="78">
        <f>C6-D6</f>
        <v/>
      </c>
    </row>
    <row r="7" ht="15" customHeight="1" s="48">
      <c r="B7" s="47" t="inlineStr">
        <is>
          <t>Near-term maturities / debt</t>
        </is>
      </c>
      <c r="C7" s="70">
        <f>IFERROR(SUM('Maturity Ladder'!C10:E10)/'Capital Structure'!C10,0)</f>
        <v/>
      </c>
      <c r="D7" s="70" t="n">
        <v>0.35</v>
      </c>
      <c r="E7" s="70">
        <f>D7-C7</f>
        <v/>
      </c>
    </row>
    <row r="8" ht="15" customHeight="1" s="48">
      <c r="B8" s="47" t="inlineStr">
        <is>
          <t>Refinancing status</t>
        </is>
      </c>
      <c r="C8" s="47">
        <f>Refinancing!G8</f>
        <v/>
      </c>
      <c r="D8" s="47" t="inlineStr">
        <is>
          <t>PASS</t>
        </is>
      </c>
      <c r="E8" s="47">
        <f>IF(C8=D8,"PASS","FAIL")</f>
        <v/>
      </c>
    </row>
  </sheetData>
  <mergeCells count="1">
    <mergeCell ref="B2:E2"/>
  </mergeCells>
  <conditionalFormatting sqref="E8">
    <cfRule type="expression" rank="0" priority="2" equalAverage="0" aboveAverage="0" dxfId="0" text="" percent="0" bottom="0">
      <formula>E8="PASS"</formula>
    </cfRule>
    <cfRule type="expression" rank="0" priority="3" equalAverage="0" aboveAverage="0" dxfId="1" text="" percent="0" bottom="0">
      <formula>E8="FAIL"</formula>
    </cfRule>
    <cfRule type="expression" rank="0" priority="4" equalAverage="0" aboveAverage="0" dxfId="2" text="" percent="0" bottom="0">
      <formula>E8="REVIEW"</formula>
    </cfRule>
    <cfRule type="expression" rank="0" priority="5" equalAverage="0" aboveAverage="0" dxfId="1" text="" percent="0" bottom="0">
      <formula>E8="BREACH"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2" customWidth="1" style="47" min="2" max="2"/>
    <col width="18" customWidth="1" style="47" min="3" max="4"/>
    <col width="42" customWidth="1" style="47" min="5" max="5"/>
  </cols>
  <sheetData>
    <row r="2" ht="27.75" customHeight="1" s="48">
      <c r="B2" s="49" t="inlineStr">
        <is>
          <t>Claim Recovery Waterfall</t>
        </is>
      </c>
    </row>
    <row r="4" ht="15" customHeight="1" s="48">
      <c r="B4" s="62" t="inlineStr">
        <is>
          <t>Metric</t>
        </is>
      </c>
      <c r="C4" s="62" t="inlineStr">
        <is>
          <t>Base</t>
        </is>
      </c>
      <c r="D4" s="62" t="inlineStr">
        <is>
          <t>Downside</t>
        </is>
      </c>
      <c r="E4" s="62" t="inlineStr">
        <is>
          <t>Note</t>
        </is>
      </c>
    </row>
    <row r="5" ht="15" customHeight="1" s="48">
      <c r="B5" s="47" t="inlineStr">
        <is>
          <t>Stressed EBITDA</t>
        </is>
      </c>
      <c r="C5" s="69">
        <f>Assumptions!C5</f>
        <v/>
      </c>
      <c r="D5" s="69">
        <f>Assumptions!D5</f>
        <v/>
      </c>
    </row>
    <row r="6" ht="15" customHeight="1" s="48">
      <c r="B6" s="47" t="inlineStr">
        <is>
          <t>Recovery multiple</t>
        </is>
      </c>
      <c r="C6" s="78">
        <f>Assumptions!C20</f>
        <v/>
      </c>
      <c r="D6" s="78">
        <f>Assumptions!D20</f>
        <v/>
      </c>
    </row>
    <row r="7" ht="15" customHeight="1" s="48">
      <c r="B7" s="47" t="inlineStr">
        <is>
          <t>Enterprise value</t>
        </is>
      </c>
      <c r="C7" s="69">
        <f>C5*C6</f>
        <v/>
      </c>
      <c r="D7" s="69">
        <f>D5*D6</f>
        <v/>
      </c>
    </row>
    <row r="8" ht="15" customHeight="1" s="48">
      <c r="B8" s="47" t="inlineStr">
        <is>
          <t>EV haircut</t>
        </is>
      </c>
      <c r="C8" s="69">
        <f>C7*Assumptions!C21</f>
        <v/>
      </c>
      <c r="D8" s="69">
        <f>D7*Assumptions!D21</f>
        <v/>
      </c>
    </row>
    <row r="9" ht="15" customHeight="1" s="48">
      <c r="B9" s="47" t="inlineStr">
        <is>
          <t>Distributable value</t>
        </is>
      </c>
      <c r="C9" s="69">
        <f>C7-C8</f>
        <v/>
      </c>
      <c r="D9" s="69">
        <f>D7-D8</f>
        <v/>
      </c>
    </row>
    <row r="10" ht="15" customHeight="1" s="48">
      <c r="B10" s="47" t="inlineStr">
        <is>
          <t>Gross debt</t>
        </is>
      </c>
      <c r="C10" s="69">
        <f>'Capital Structure'!C10</f>
        <v/>
      </c>
      <c r="D10" s="69">
        <f>'Capital Structure'!C10</f>
        <v/>
      </c>
    </row>
    <row r="11" ht="15" customHeight="1" s="48">
      <c r="B11" s="47" t="inlineStr">
        <is>
          <t>Recovery value</t>
        </is>
      </c>
      <c r="C11" s="69">
        <f>MIN(C9,C10)</f>
        <v/>
      </c>
      <c r="D11" s="69">
        <f>MIN(D9,D10)</f>
        <v/>
      </c>
    </row>
    <row r="12" ht="15" customHeight="1" s="48">
      <c r="B12" s="47" t="inlineStr">
        <is>
          <t>Recovery rate</t>
        </is>
      </c>
      <c r="C12" s="70">
        <f>IFERROR(C11/C10,0)</f>
        <v/>
      </c>
      <c r="D12" s="70">
        <f>IFERROR(D11/D10,0)</f>
        <v/>
      </c>
    </row>
    <row r="13" ht="15" customHeight="1" s="48">
      <c r="B13" s="47" t="inlineStr">
        <is>
          <t>LGD</t>
        </is>
      </c>
      <c r="C13" s="70">
        <f>1-C12</f>
        <v/>
      </c>
      <c r="D13" s="70">
        <f>1-D12</f>
        <v/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42" customWidth="1" style="47" min="2" max="2"/>
    <col width="18" customWidth="1" style="47" min="3" max="3"/>
  </cols>
  <sheetData>
    <row r="2" ht="27.75" customHeight="1" s="48">
      <c r="B2" s="49" t="inlineStr">
        <is>
          <t>Model Checks</t>
        </is>
      </c>
    </row>
    <row r="4" ht="15" customHeight="1" s="48">
      <c r="B4" s="62" t="inlineStr">
        <is>
          <t>Check</t>
        </is>
      </c>
      <c r="C4" s="62" t="inlineStr">
        <is>
          <t>Status</t>
        </is>
      </c>
    </row>
    <row r="5" ht="15" customHeight="1" s="48">
      <c r="B5" s="47" t="inlineStr">
        <is>
          <t>Sources equal uses</t>
        </is>
      </c>
      <c r="C5" s="47">
        <f>IF(Refinancing!G8="PASS","PASS","FAIL")</f>
        <v/>
      </c>
    </row>
    <row r="6" ht="15" customHeight="1" s="48">
      <c r="B6" s="47" t="inlineStr">
        <is>
          <t>Debt nonnegative</t>
        </is>
      </c>
      <c r="C6" s="47">
        <f>IF('Capital Structure'!C10&gt;=0,"PASS","FAIL")</f>
        <v/>
      </c>
    </row>
    <row r="7" ht="15" customHeight="1" s="48">
      <c r="B7" s="47" t="inlineStr">
        <is>
          <t>Maturities reconcile</t>
        </is>
      </c>
      <c r="C7" s="47">
        <f>IF(ABS(SUM('Maturity Ladder'!C10:H10)-'Capital Structure'!C10)&lt;0.01,"PASS","REVIEW")</f>
        <v/>
      </c>
    </row>
    <row r="8" ht="15" customHeight="1" s="48">
      <c r="B8" s="47" t="inlineStr">
        <is>
          <t>Recovery bounded</t>
        </is>
      </c>
      <c r="C8" s="47">
        <f>IF(AND(MIN(Recovery!C12:D12)&gt;=0,MAX(Recovery!C12:D12)&lt;=1),"PASS","FAIL")</f>
        <v/>
      </c>
    </row>
    <row r="9" ht="15" customHeight="1" s="48">
      <c r="B9" s="47" t="inlineStr">
        <is>
          <t>Overall</t>
        </is>
      </c>
      <c r="C9" s="47">
        <f>IF(COUNTIF(C5:C8,"FAIL")+COUNTIF(C5:C8,"REVIEW")=0,"PASS","REVIEW")</f>
        <v/>
      </c>
    </row>
  </sheetData>
  <mergeCells count="1">
    <mergeCell ref="B2:C2"/>
  </mergeCells>
  <conditionalFormatting sqref="C5:C9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34" customWidth="1" style="47" min="2" max="2"/>
    <col width="58" customWidth="1" style="47" min="3" max="3"/>
    <col width="16" customWidth="1" style="47" min="4" max="4"/>
    <col width="48" customWidth="1" style="47" min="5" max="5"/>
  </cols>
  <sheetData>
    <row r="2" ht="27.75" customHeight="1" s="48">
      <c r="B2" s="49" t="inlineStr">
        <is>
          <t>Source Register</t>
        </is>
      </c>
    </row>
    <row r="4" ht="15" customHeight="1" s="48">
      <c r="B4" s="62" t="inlineStr">
        <is>
          <t>Input / dataset</t>
        </is>
      </c>
      <c r="C4" s="62" t="inlineStr">
        <is>
          <t>Source URL or document</t>
        </is>
      </c>
      <c r="D4" s="62" t="inlineStr">
        <is>
          <t>As-of</t>
        </is>
      </c>
      <c r="E4" s="62" t="inlineStr">
        <is>
          <t>Notes / transformation</t>
        </is>
      </c>
    </row>
    <row r="5" ht="15" customHeight="1" s="48">
      <c r="B5" s="81" t="inlineStr">
        <is>
          <t>Debt instruments</t>
        </is>
      </c>
      <c r="C5" s="81" t="inlineStr">
        <is>
          <t>Credit agreements, indentures, or filings</t>
        </is>
      </c>
      <c r="D5" s="81" t="inlineStr">
        <is>
          <t>[date]</t>
        </is>
      </c>
      <c r="E5" s="81" t="inlineStr">
        <is>
          <t>Balance, rate, maturity, collateral and covenants</t>
        </is>
      </c>
    </row>
    <row r="6" ht="15" customHeight="1" s="48">
      <c r="B6" s="81" t="inlineStr">
        <is>
          <t>Market pricing</t>
        </is>
      </c>
      <c r="C6" s="81" t="inlineStr">
        <is>
          <t>Treasury / swap curve and comparable new issues</t>
        </is>
      </c>
      <c r="D6" s="81" t="inlineStr">
        <is>
          <t>[date]</t>
        </is>
      </c>
      <c r="E6" s="81" t="inlineStr">
        <is>
          <t>Freeze base-rate and spread assumptions</t>
        </is>
      </c>
    </row>
    <row r="7" ht="15" customHeight="1" s="48">
      <c r="B7" s="81" t="inlineStr">
        <is>
          <t>Financial statements</t>
        </is>
      </c>
      <c r="C7" s="81" t="inlineStr">
        <is>
          <t>Audited statements or filing</t>
        </is>
      </c>
      <c r="D7" s="81" t="inlineStr">
        <is>
          <t>[period]</t>
        </is>
      </c>
      <c r="E7" s="81" t="inlineStr">
        <is>
          <t>EBITDA, cash and debt reconciliation</t>
        </is>
      </c>
    </row>
    <row r="8" ht="15" customHeight="1" s="48">
      <c r="B8" s="81" t="inlineStr">
        <is>
          <t>Recovery methodology</t>
        </is>
      </c>
      <c r="C8" s="81" t="inlineStr">
        <is>
          <t>Documented enterprise-value and priority assumptions</t>
        </is>
      </c>
      <c r="D8" s="81" t="inlineStr">
        <is>
          <t>[date]</t>
        </is>
      </c>
      <c r="E8" s="81" t="inlineStr">
        <is>
          <t>Claim-level recovery bridge</t>
        </is>
      </c>
    </row>
    <row r="9">
      <c r="B9" s="82" t="inlineStr">
        <is>
          <t>Microsoft 2024 Form 10-K</t>
        </is>
      </c>
      <c r="C9" s="82" t="inlineStr">
        <is>
          <t>https://www.sec.gov/Archives/edgar/data/789019/000095017024087843/msft-20240630.htm</t>
        </is>
      </c>
      <c r="D9" s="82" t="inlineStr">
        <is>
          <t>2024-06-30</t>
        </is>
      </c>
      <c r="E9" s="82" t="inlineStr">
        <is>
          <t>U.S. SEC / Microsoft; frozen curated observation as of case date</t>
        </is>
      </c>
    </row>
    <row r="10">
      <c r="B10" s="82" t="inlineStr">
        <is>
          <t>Frozen source snapshot</t>
        </is>
      </c>
      <c r="C10" s="82" t="inlineStr">
        <is>
          <t>repo://06_Debt_Finance/sources/snapshots/debt-public-microsoft-2024.json</t>
        </is>
      </c>
      <c r="D10" s="82" t="inlineStr">
        <is>
          <t>2024-06-30</t>
        </is>
      </c>
      <c r="E10" s="82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14" customWidth="1" style="47" min="2" max="2"/>
    <col width="22" customWidth="1" style="47" min="3" max="3"/>
    <col width="28" customWidth="1" style="47" min="4" max="4"/>
    <col width="38" customWidth="1" style="47" min="5" max="5"/>
    <col width="34" customWidth="1" style="47" min="6" max="6"/>
    <col width="18" customWidth="1" style="47" min="7" max="7"/>
  </cols>
  <sheetData>
    <row r="2" ht="27.75" customHeight="1" s="48">
      <c r="B2" s="49" t="inlineStr">
        <is>
          <t>Refresh Log</t>
        </is>
      </c>
    </row>
    <row r="4" ht="15" customHeight="1" s="48">
      <c r="B4" s="62" t="inlineStr">
        <is>
          <t>Date</t>
        </is>
      </c>
      <c r="C4" s="62" t="inlineStr">
        <is>
          <t>Trigger</t>
        </is>
      </c>
      <c r="D4" s="62" t="inlineStr">
        <is>
          <t>Source snapshot</t>
        </is>
      </c>
      <c r="E4" s="62" t="inlineStr">
        <is>
          <t>What changed</t>
        </is>
      </c>
      <c r="F4" s="62" t="inlineStr">
        <is>
          <t>Reviewer / challenge</t>
        </is>
      </c>
      <c r="G4" s="62" t="inlineStr">
        <is>
          <t>Next check</t>
        </is>
      </c>
    </row>
    <row r="5" ht="15" customHeight="1" s="48">
      <c r="B5" s="83" t="inlineStr">
        <is>
          <t>2026-08-04</t>
        </is>
      </c>
      <c r="C5" s="83" t="inlineStr">
        <is>
          <t>External historical evidence materialization</t>
        </is>
      </c>
      <c r="D5" s="83" t="inlineStr">
        <is>
          <t>repo://06_Debt_Finance/sources/snapshots/debt-public-microsoft-2024.json</t>
        </is>
      </c>
      <c r="E5" s="83" t="inlineStr">
        <is>
          <t>Generated public case debt-public-microsoft-2024 from canonical release template</t>
        </is>
      </c>
      <c r="F5" s="83" t="inlineStr">
        <is>
          <t>External historical case; human stakeholder approval remains pending</t>
        </is>
      </c>
      <c r="G5" s="83" t="inlineStr">
        <is>
          <t>On source revision, builder change, monitoring breach, or annual review</t>
        </is>
      </c>
    </row>
    <row r="6" ht="15" customHeight="1" s="48">
      <c r="B6" s="83" t="n"/>
      <c r="C6" s="83" t="n"/>
      <c r="D6" s="83" t="n"/>
      <c r="E6" s="83" t="n"/>
      <c r="F6" s="83" t="n"/>
      <c r="G6" s="83" t="n"/>
    </row>
    <row r="7" ht="15" customHeight="1" s="48">
      <c r="B7" s="83" t="n"/>
      <c r="C7" s="83" t="n"/>
      <c r="D7" s="83" t="n"/>
      <c r="E7" s="83" t="n"/>
      <c r="F7" s="83" t="n"/>
      <c r="G7" s="83" t="n"/>
    </row>
    <row r="8" ht="15" customHeight="1" s="48">
      <c r="B8" s="83" t="n"/>
      <c r="C8" s="83" t="n"/>
      <c r="D8" s="83" t="n"/>
      <c r="E8" s="83" t="n"/>
      <c r="F8" s="83" t="n"/>
      <c r="G8" s="83" t="n"/>
    </row>
    <row r="9" ht="15" customHeight="1" s="48">
      <c r="B9" s="83" t="n"/>
      <c r="C9" s="83" t="n"/>
      <c r="D9" s="83" t="n"/>
      <c r="E9" s="83" t="n"/>
      <c r="F9" s="83" t="n"/>
      <c r="G9" s="83" t="n"/>
    </row>
    <row r="10" ht="15" customHeight="1" s="48">
      <c r="B10" s="83" t="n"/>
      <c r="C10" s="83" t="n"/>
      <c r="D10" s="83" t="n"/>
      <c r="E10" s="83" t="n"/>
      <c r="F10" s="83" t="n"/>
      <c r="G10" s="83" t="n"/>
    </row>
    <row r="11" ht="15" customHeight="1" s="48">
      <c r="B11" s="83" t="n"/>
      <c r="C11" s="83" t="n"/>
      <c r="D11" s="83" t="n"/>
      <c r="E11" s="83" t="n"/>
      <c r="F11" s="83" t="n"/>
      <c r="G11" s="83" t="n"/>
    </row>
    <row r="12" ht="15" customHeight="1" s="48">
      <c r="B12" s="83" t="n"/>
      <c r="C12" s="83" t="n"/>
      <c r="D12" s="83" t="n"/>
      <c r="E12" s="83" t="n"/>
      <c r="F12" s="83" t="n"/>
      <c r="G12" s="83" t="n"/>
    </row>
    <row r="13" ht="15" customHeight="1" s="48">
      <c r="B13" s="83" t="n"/>
      <c r="C13" s="83" t="n"/>
      <c r="D13" s="83" t="n"/>
      <c r="E13" s="83" t="n"/>
      <c r="F13" s="83" t="n"/>
      <c r="G13" s="83" t="n"/>
    </row>
    <row r="14" ht="15" customHeight="1" s="48">
      <c r="B14" s="83" t="n"/>
      <c r="C14" s="83" t="n"/>
      <c r="D14" s="83" t="n"/>
      <c r="E14" s="83" t="n"/>
      <c r="F14" s="83" t="n"/>
      <c r="G14" s="83" t="n"/>
    </row>
    <row r="15" ht="15" customHeight="1" s="48">
      <c r="B15" s="83" t="n"/>
      <c r="C15" s="83" t="n"/>
      <c r="D15" s="83" t="n"/>
      <c r="E15" s="83" t="n"/>
      <c r="F15" s="83" t="n"/>
      <c r="G15" s="83" t="n"/>
    </row>
    <row r="16" ht="15" customHeight="1" s="48">
      <c r="B16" s="83" t="n"/>
      <c r="C16" s="83" t="n"/>
      <c r="D16" s="83" t="n"/>
      <c r="E16" s="83" t="n"/>
      <c r="F16" s="83" t="n"/>
      <c r="G16" s="83" t="n"/>
    </row>
    <row r="17" ht="15" customHeight="1" s="48">
      <c r="B17" s="83" t="n"/>
      <c r="C17" s="83" t="n"/>
      <c r="D17" s="83" t="n"/>
      <c r="E17" s="83" t="n"/>
      <c r="F17" s="83" t="n"/>
      <c r="G17" s="83" t="n"/>
    </row>
    <row r="18" ht="15" customHeight="1" s="48">
      <c r="B18" s="83" t="n"/>
      <c r="C18" s="83" t="n"/>
      <c r="D18" s="83" t="n"/>
      <c r="E18" s="83" t="n"/>
      <c r="F18" s="83" t="n"/>
      <c r="G18" s="83" t="n"/>
    </row>
    <row r="19" ht="15" customHeight="1" s="48">
      <c r="B19" s="83" t="n"/>
      <c r="C19" s="83" t="n"/>
      <c r="D19" s="83" t="n"/>
      <c r="E19" s="83" t="n"/>
      <c r="F19" s="83" t="n"/>
      <c r="G19" s="83" t="n"/>
    </row>
    <row r="20" ht="15" customHeight="1" s="48">
      <c r="B20" s="83" t="n"/>
      <c r="C20" s="83" t="n"/>
      <c r="D20" s="83" t="n"/>
      <c r="E20" s="83" t="n"/>
      <c r="F20" s="83" t="n"/>
      <c r="G20" s="83" t="n"/>
    </row>
    <row r="21" ht="15" customHeight="1" s="48">
      <c r="B21" s="83" t="n"/>
      <c r="C21" s="83" t="n"/>
      <c r="D21" s="83" t="n"/>
      <c r="E21" s="83" t="n"/>
      <c r="F21" s="83" t="n"/>
      <c r="G21" s="83" t="n"/>
    </row>
    <row r="22" ht="15" customHeight="1" s="48">
      <c r="B22" s="83" t="n"/>
      <c r="C22" s="83" t="n"/>
      <c r="D22" s="83" t="n"/>
      <c r="E22" s="83" t="n"/>
      <c r="F22" s="83" t="n"/>
      <c r="G22" s="83" t="n"/>
    </row>
    <row r="23" ht="15" customHeight="1" s="48">
      <c r="B23" s="83" t="n"/>
      <c r="C23" s="83" t="n"/>
      <c r="D23" s="83" t="n"/>
      <c r="E23" s="83" t="n"/>
      <c r="F23" s="83" t="n"/>
      <c r="G23" s="83" t="n"/>
    </row>
    <row r="24" ht="15" customHeight="1" s="48">
      <c r="B24" s="83" t="n"/>
      <c r="C24" s="83" t="n"/>
      <c r="D24" s="83" t="n"/>
      <c r="E24" s="83" t="n"/>
      <c r="F24" s="83" t="n"/>
      <c r="G24" s="83" t="n"/>
    </row>
    <row r="25" ht="15" customHeight="1" s="48">
      <c r="B25" s="83" t="n"/>
      <c r="C25" s="83" t="n"/>
      <c r="D25" s="83" t="n"/>
      <c r="E25" s="83" t="n"/>
      <c r="F25" s="83" t="n"/>
      <c r="G25" s="83" t="n"/>
    </row>
    <row r="26" ht="15" customHeight="1" s="48">
      <c r="B26" s="83" t="n"/>
      <c r="C26" s="83" t="n"/>
      <c r="D26" s="83" t="n"/>
      <c r="E26" s="83" t="n"/>
      <c r="F26" s="83" t="n"/>
      <c r="G26" s="83" t="n"/>
    </row>
    <row r="27" ht="15" customHeight="1" s="48">
      <c r="B27" s="83" t="n"/>
      <c r="C27" s="83" t="n"/>
      <c r="D27" s="83" t="n"/>
      <c r="E27" s="83" t="n"/>
      <c r="F27" s="83" t="n"/>
      <c r="G27" s="83" t="n"/>
    </row>
    <row r="28" ht="15" customHeight="1" s="48">
      <c r="B28" s="83" t="n"/>
      <c r="C28" s="83" t="n"/>
      <c r="D28" s="83" t="n"/>
      <c r="E28" s="83" t="n"/>
      <c r="F28" s="83" t="n"/>
      <c r="G28" s="83" t="n"/>
    </row>
    <row r="29" ht="15" customHeight="1" s="48">
      <c r="B29" s="83" t="n"/>
      <c r="C29" s="83" t="n"/>
      <c r="D29" s="83" t="n"/>
      <c r="E29" s="83" t="n"/>
      <c r="F29" s="83" t="n"/>
      <c r="G29" s="83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E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42" customWidth="1" style="47" min="2" max="2"/>
    <col width="18" customWidth="1" style="47" min="3" max="4"/>
    <col width="46" customWidth="1" style="47" min="5" max="5"/>
  </cols>
  <sheetData>
    <row r="2" ht="19.7" customHeight="1" s="48">
      <c r="B2" s="84" t="inlineStr">
        <is>
          <t>Debt Rollforward, Maturity Wall, Weighted Cost, and Coverage</t>
        </is>
      </c>
    </row>
    <row r="4" ht="15" customHeight="1" s="48">
      <c r="B4" s="85" t="inlineStr">
        <is>
          <t>Metric</t>
        </is>
      </c>
      <c r="C4" s="85" t="inlineStr">
        <is>
          <t>Base</t>
        </is>
      </c>
      <c r="D4" s="85" t="inlineStr">
        <is>
          <t>Adversarial</t>
        </is>
      </c>
      <c r="E4" s="85" t="inlineStr">
        <is>
          <t>Units / control</t>
        </is>
      </c>
    </row>
    <row r="5" ht="15" customHeight="1" s="48">
      <c r="B5" s="47" t="inlineStr">
        <is>
          <t>Opening debt</t>
        </is>
      </c>
      <c r="C5" s="86" t="n">
        <v>71802</v>
      </c>
      <c r="D5" s="87" t="n">
        <v>500</v>
      </c>
    </row>
    <row r="6" ht="15" customHeight="1" s="48">
      <c r="B6" s="47" t="inlineStr">
        <is>
          <t>Issuance</t>
        </is>
      </c>
      <c r="C6" s="86" t="n">
        <v>24395</v>
      </c>
      <c r="D6" s="87" t="n">
        <v>300</v>
      </c>
    </row>
    <row r="7" ht="15" customHeight="1" s="48">
      <c r="B7" s="47" t="inlineStr">
        <is>
          <t>Repayments</t>
        </is>
      </c>
      <c r="C7" s="86" t="n">
        <v>29070</v>
      </c>
      <c r="D7" s="87" t="n">
        <v>50</v>
      </c>
    </row>
    <row r="8" ht="15" customHeight="1" s="48">
      <c r="B8" s="47" t="inlineStr">
        <is>
          <t>Year 1 maturity</t>
        </is>
      </c>
      <c r="C8" s="87" t="n">
        <v>50</v>
      </c>
      <c r="D8" s="87" t="n">
        <v>300</v>
      </c>
    </row>
    <row r="9" ht="15" customHeight="1" s="48">
      <c r="B9" s="47" t="inlineStr">
        <is>
          <t>Year 2 maturity</t>
        </is>
      </c>
      <c r="C9" s="87" t="n">
        <v>75</v>
      </c>
      <c r="D9" s="87" t="n">
        <v>250</v>
      </c>
    </row>
    <row r="10" ht="15" customHeight="1" s="48">
      <c r="B10" s="47" t="inlineStr">
        <is>
          <t>Year 3 maturity</t>
        </is>
      </c>
      <c r="C10" s="87" t="n">
        <v>100</v>
      </c>
      <c r="D10" s="87" t="n">
        <v>100</v>
      </c>
    </row>
    <row r="11" ht="15" customHeight="1" s="48">
      <c r="B11" s="47" t="inlineStr">
        <is>
          <t>Year 4 maturity</t>
        </is>
      </c>
      <c r="C11" s="87" t="n">
        <v>100</v>
      </c>
      <c r="D11" s="87" t="n">
        <v>50</v>
      </c>
    </row>
    <row r="12" ht="15" customHeight="1" s="48">
      <c r="B12" s="47" t="inlineStr">
        <is>
          <t>Year 5 maturity</t>
        </is>
      </c>
      <c r="C12" s="87" t="n">
        <v>125</v>
      </c>
      <c r="D12" s="87" t="n">
        <v>50</v>
      </c>
    </row>
    <row r="13" ht="15" customHeight="1" s="48">
      <c r="B13" s="47" t="inlineStr">
        <is>
          <t>Liquidity</t>
        </is>
      </c>
      <c r="C13" s="86" t="n">
        <v>75543</v>
      </c>
      <c r="D13" s="87" t="n">
        <v>50</v>
      </c>
    </row>
    <row r="14" ht="15" customHeight="1" s="48">
      <c r="B14" s="47" t="inlineStr">
        <is>
          <t>Committed lines</t>
        </is>
      </c>
      <c r="C14" s="87" t="n">
        <v>50</v>
      </c>
      <c r="D14" s="87" t="n">
        <v>50</v>
      </c>
    </row>
    <row r="15" ht="15" customHeight="1" s="48">
      <c r="B15" s="47" t="inlineStr">
        <is>
          <t>Tranche 1 amount</t>
        </is>
      </c>
      <c r="C15" s="87" t="n">
        <v>300</v>
      </c>
      <c r="D15" s="87" t="n">
        <v>500</v>
      </c>
    </row>
    <row r="16" ht="15" customHeight="1" s="48">
      <c r="B16" s="47" t="inlineStr">
        <is>
          <t>Tranche 1 rate</t>
        </is>
      </c>
      <c r="C16" s="88" t="n">
        <v>0.06</v>
      </c>
      <c r="D16" s="88" t="n">
        <v>0.12</v>
      </c>
    </row>
    <row r="17" ht="15" customHeight="1" s="48">
      <c r="B17" s="47" t="inlineStr">
        <is>
          <t>Tranche 2 amount</t>
        </is>
      </c>
      <c r="C17" s="87" t="n">
        <v>150</v>
      </c>
      <c r="D17" s="87" t="n">
        <v>250</v>
      </c>
    </row>
    <row r="18" ht="15" customHeight="1" s="48">
      <c r="B18" s="47" t="inlineStr">
        <is>
          <t>Tranche 2 rate</t>
        </is>
      </c>
      <c r="C18" s="88" t="n">
        <v>0.07000000000000001</v>
      </c>
      <c r="D18" s="88" t="n">
        <v>0.15</v>
      </c>
    </row>
    <row r="19" ht="15" customHeight="1" s="48">
      <c r="B19" s="47" t="inlineStr">
        <is>
          <t>EBITDA</t>
        </is>
      </c>
      <c r="C19" s="87" t="n">
        <v>150</v>
      </c>
      <c r="D19" s="87" t="n">
        <v>80</v>
      </c>
    </row>
    <row r="20" ht="15" customHeight="1" s="48">
      <c r="B20" s="47" t="inlineStr">
        <is>
          <t>Maximum maturity concentration</t>
        </is>
      </c>
      <c r="C20" s="88" t="n">
        <v>0.4</v>
      </c>
      <c r="D20" s="88" t="n">
        <v>0.35</v>
      </c>
    </row>
    <row r="21" ht="15" customHeight="1" s="48">
      <c r="B21" s="47" t="inlineStr">
        <is>
          <t>Minimum interest coverage</t>
        </is>
      </c>
      <c r="C21" s="89" t="n">
        <v>2</v>
      </c>
      <c r="D21" s="89" t="n">
        <v>2</v>
      </c>
    </row>
    <row r="22" ht="15" customHeight="1" s="48">
      <c r="B22" s="47" t="inlineStr">
        <is>
          <t>Maximum weighted cost</t>
        </is>
      </c>
      <c r="C22" s="88" t="n">
        <v>0.1</v>
      </c>
      <c r="D22" s="88" t="n">
        <v>0.1</v>
      </c>
    </row>
    <row r="26" ht="15" customHeight="1" s="48">
      <c r="B26" s="47" t="inlineStr">
        <is>
          <t>Ending debt</t>
        </is>
      </c>
      <c r="C26" s="90">
        <f>MAX(0,C5+C6-C7)</f>
        <v/>
      </c>
      <c r="D26" s="90">
        <f>MAX(0,D5+D6-D7)</f>
        <v/>
      </c>
    </row>
    <row r="27" ht="15" customHeight="1" s="48">
      <c r="B27" s="47" t="inlineStr">
        <is>
          <t>Near-term maturities</t>
        </is>
      </c>
      <c r="C27" s="90">
        <f>C8+C9</f>
        <v/>
      </c>
      <c r="D27" s="90">
        <f>D8+D9</f>
        <v/>
      </c>
    </row>
    <row r="28" ht="15" customHeight="1" s="48">
      <c r="B28" s="47" t="inlineStr">
        <is>
          <t>Refinancing gap</t>
        </is>
      </c>
      <c r="C28" s="90">
        <f>MAX(0,C27-C13-C14)</f>
        <v/>
      </c>
      <c r="D28" s="90">
        <f>MAX(0,D27-D13-D14)</f>
        <v/>
      </c>
    </row>
    <row r="29" ht="15" customHeight="1" s="48">
      <c r="B29" s="47" t="inlineStr">
        <is>
          <t>Maturity concentration</t>
        </is>
      </c>
      <c r="C29" s="91">
        <f>IFERROR(MAX(C8:C12)/SUM(C8:C12),0)</f>
        <v/>
      </c>
      <c r="D29" s="91">
        <f>IFERROR(MAX(D8:D12)/SUM(D8:D12),0)</f>
        <v/>
      </c>
    </row>
    <row r="30" ht="15" customHeight="1" s="48">
      <c r="B30" s="47" t="inlineStr">
        <is>
          <t>Weighted cost</t>
        </is>
      </c>
      <c r="C30" s="91">
        <f>IFERROR((C15*C16+C17*C18)/(C15+C17),0)</f>
        <v/>
      </c>
      <c r="D30" s="91">
        <f>IFERROR((D15*D16+D17*D18)/(D15+D17),0)</f>
        <v/>
      </c>
    </row>
    <row r="31" ht="15" customHeight="1" s="48">
      <c r="B31" s="47" t="inlineStr">
        <is>
          <t>Cash interest</t>
        </is>
      </c>
      <c r="C31" s="90">
        <f>C26*C30</f>
        <v/>
      </c>
      <c r="D31" s="90">
        <f>D26*D30</f>
        <v/>
      </c>
    </row>
    <row r="32" ht="15" customHeight="1" s="48">
      <c r="B32" s="47" t="inlineStr">
        <is>
          <t>Interest coverage</t>
        </is>
      </c>
      <c r="C32" s="92">
        <f>IFERROR(C19/C31,0)</f>
        <v/>
      </c>
      <c r="D32" s="92">
        <f>IFERROR(D19/D31,0)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7" min="1" max="1"/>
    <col width="42" customWidth="1" style="47" min="2" max="2"/>
    <col width="18" customWidth="1" style="47" min="3" max="4"/>
    <col width="54" customWidth="1" style="47" min="5" max="5"/>
  </cols>
  <sheetData>
    <row r="2" ht="19.7" customHeight="1" s="48">
      <c r="B2" s="84" t="inlineStr">
        <is>
          <t>Debt Finance Decision Dashboard and Independent Checks</t>
        </is>
      </c>
    </row>
    <row r="4" ht="15" customHeight="1" s="48">
      <c r="B4" s="85" t="inlineStr">
        <is>
          <t>Check / decision</t>
        </is>
      </c>
      <c r="C4" s="85" t="inlineStr">
        <is>
          <t>Metric</t>
        </is>
      </c>
      <c r="D4" s="85" t="inlineStr">
        <is>
          <t>Status</t>
        </is>
      </c>
      <c r="E4" s="85" t="inlineStr">
        <is>
          <t>Interpretation / action</t>
        </is>
      </c>
    </row>
    <row r="5" ht="15" customHeight="1" s="48">
      <c r="B5" s="47" t="inlineStr">
        <is>
          <t>Debt rollforward residual</t>
        </is>
      </c>
      <c r="C5" s="93">
        <f>'Refinancing &amp; Rates'!D26-MAX(0,'Refinancing &amp; Rates'!D5+'Refinancing &amp; Rates'!D6-'Refinancing &amp; Rates'!D7)</f>
        <v/>
      </c>
      <c r="D5" s="94">
        <f>IF(ABS(C5)&lt;0.01,"PASS","FAIL")</f>
        <v/>
      </c>
      <c r="E5" s="47" t="inlineStr">
        <is>
          <t>Debt must reconcile to issuance and repayment.</t>
        </is>
      </c>
    </row>
    <row r="6" ht="15" customHeight="1" s="48">
      <c r="B6" s="47" t="inlineStr">
        <is>
          <t>Weighted-cost residual</t>
        </is>
      </c>
      <c r="C6" s="93">
        <f>'Refinancing &amp; Rates'!D30*('Refinancing &amp; Rates'!D15+'Refinancing &amp; Rates'!D17)-('Refinancing &amp; Rates'!D15*'Refinancing &amp; Rates'!D16+'Refinancing &amp; Rates'!D17*'Refinancing &amp; Rates'!D18)</f>
        <v/>
      </c>
      <c r="D6" s="94">
        <f>IF(ABS(C6)&lt;0.01,"PASS","FAIL")</f>
        <v/>
      </c>
      <c r="E6" s="47" t="inlineStr">
        <is>
          <t>Weighted pricing must reconcile to tranche balances and rates.</t>
        </is>
      </c>
    </row>
    <row r="7" ht="15" customHeight="1" s="48">
      <c r="B7" s="47" t="inlineStr">
        <is>
          <t>Refinancing gap</t>
        </is>
      </c>
      <c r="C7" s="93">
        <f>'Refinancing &amp; Rates'!D28</f>
        <v/>
      </c>
      <c r="D7" s="94">
        <f>IF(C7=0,"PASS","BREACH")</f>
        <v/>
      </c>
      <c r="E7" s="47" t="inlineStr">
        <is>
          <t>Near-term maturities must be covered by liquidity and committed facilities.</t>
        </is>
      </c>
    </row>
    <row r="8" ht="15" customHeight="1" s="48">
      <c r="B8" s="47" t="inlineStr">
        <is>
          <t>Maturity concentration</t>
        </is>
      </c>
      <c r="C8" s="93">
        <f>'Refinancing &amp; Rates'!D29</f>
        <v/>
      </c>
      <c r="D8" s="94">
        <f>IF(C8&lt;='Refinancing &amp; Rates'!D20,"PASS","BREACH")</f>
        <v/>
      </c>
      <c r="E8" s="47" t="inlineStr">
        <is>
          <t>Escalate concentrated maturity walls.</t>
        </is>
      </c>
    </row>
    <row r="9" ht="15" customHeight="1" s="48">
      <c r="B9" s="47" t="inlineStr">
        <is>
          <t>Interest coverage</t>
        </is>
      </c>
      <c r="C9" s="93">
        <f>'Refinancing &amp; Rates'!D32</f>
        <v/>
      </c>
      <c r="D9" s="94">
        <f>IF(C9&gt;='Refinancing &amp; Rates'!D21,"PASS","BREACH")</f>
        <v/>
      </c>
      <c r="E9" s="47" t="inlineStr">
        <is>
          <t>EBITDA must cover pro forma cash interest.</t>
        </is>
      </c>
    </row>
    <row r="10" ht="15" customHeight="1" s="48">
      <c r="B10" s="47" t="inlineStr">
        <is>
          <t>Weighted refinancing cost</t>
        </is>
      </c>
      <c r="C10" s="93">
        <f>'Refinancing &amp; Rates'!D30</f>
        <v/>
      </c>
      <c r="D10" s="94">
        <f>IF(C10&lt;='Refinancing &amp; Rates'!D22,"PASS","BREACH")</f>
        <v/>
      </c>
      <c r="E10" s="47" t="inlineStr">
        <is>
          <t>Escalate expensive issuance and rate-reset risk.</t>
        </is>
      </c>
    </row>
    <row r="12" ht="15" customHeight="1" s="48">
      <c r="B12" s="95" t="inlineStr">
        <is>
          <t>Overall model status</t>
        </is>
      </c>
      <c r="C12" s="96">
        <f>IF(COUNTIF(D5:D10,"FAIL")+COUNTIF(D5:D10,"BREACH")&gt;0,"BREACH",IF(COUNTIF(D5:D10,"REVIEW")&gt;0,"REVIEW","PASS"))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2026-08-04T17:34:22Z</dcterms:created>
  <dcterms:modified xmlns:dcterms="http://purl.org/dc/terms/" xmlns:xsi="http://www.w3.org/2001/XMLSchema-instance" xsi:type="dcterms:W3CDTF">2026-08-04T18:30:43Z</dcterms:modified>
  <cp:revision>0</cp:revision>
</cp:coreProperties>
</file>