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Capital Structure" sheetId="6" state="visible" r:id="rId8"/>
    <sheet name="Maturity Ladder" sheetId="7" state="visible" r:id="rId9"/>
    <sheet name="Refinancing" sheetId="8" state="visible" r:id="rId10"/>
    <sheet name="Interest Rate Risk" sheetId="9" state="visible" r:id="rId11"/>
    <sheet name="Covenants" sheetId="10" state="visible" r:id="rId12"/>
    <sheet name="Recovery" sheetId="11" state="visible" r:id="rId13"/>
    <sheet name="Checks" sheetId="12" state="visible" r:id="rId14"/>
    <sheet name="Sources" sheetId="13" state="visible" r:id="rId15"/>
    <sheet name="RefreshLog" sheetId="14" state="visible" r:id="rId16"/>
    <sheet name="Refinancing &amp; Rates" sheetId="15" state="visible" r:id="rId17"/>
    <sheet name="Decision &amp; Checks" sheetId="16" state="visible" r:id="rId18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<sst xmlns="http://schemas.openxmlformats.org/spreadsheetml/2006/main" count="402" uniqueCount="290">
  <si>
    <t xml:space="preserve">[ISSUER] — Debt Finance &amp; Refinancing</t>
  </si>
  <si>
    <t xml:space="preserve">Issuer:</t>
  </si>
  <si>
    <t xml:space="preserve">[Name]</t>
  </si>
  <si>
    <t xml:space="preserve">Transaction:</t>
  </si>
  <si>
    <t xml:space="preserve">Refinancing / acquisition / general corporate</t>
  </si>
  <si>
    <t xml:space="preserve">Last refreshed:</t>
  </si>
  <si>
    <t xml:space="preserve">2020-11-30</t>
  </si>
  <si>
    <t xml:space="preserve">Next maturity / launch:</t>
  </si>
  <si>
    <t xml:space="preserve">[date]</t>
  </si>
  <si>
    <t xml:space="preserve">Refresh cadence:</t>
  </si>
  <si>
    <t xml:space="preserve">Weekly</t>
  </si>
  <si>
    <t xml:space="preserve">Active scenario:</t>
  </si>
  <si>
    <t xml:space="preserve">Downside</t>
  </si>
  <si>
    <t xml:space="preserve">Units:</t>
  </si>
  <si>
    <t xml:space="preserve">$ in millions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</si>
  <si>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</si>
  <si>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</si>
  <si>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</si>
  <si>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</si>
  <si>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</si>
  <si>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</si>
  <si>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</si>
  <si>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</si>
  <si>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</si>
  <si>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Debt Finance — Institutional Decision Surface</t>
  </si>
  <si>
    <t xml:space="preserve">Model ID</t>
  </si>
  <si>
    <t xml:space="preserve">06</t>
  </si>
  <si>
    <t xml:space="preserve">Domain</t>
  </si>
  <si>
    <t xml:space="preserve">Debt Finance</t>
  </si>
  <si>
    <t xml:space="preserve">Declared maturity</t>
  </si>
  <si>
    <t xml:space="preserve">M2</t>
  </si>
  <si>
    <t xml:space="preserve">Canonical builder</t>
  </si>
  <si>
    <t xml:space="preserve">tools/builders/build_debt_finance_release.py</t>
  </si>
  <si>
    <t xml:space="preserve">Decision arena</t>
  </si>
  <si>
    <t xml:space="preserve">issuer treasury, syndicate desk, rating agencies and board finance committee</t>
  </si>
  <si>
    <t xml:space="preserve">Committee artifact</t>
  </si>
  <si>
    <t xml:space="preserve">financing alternatives and execution memo</t>
  </si>
  <si>
    <t xml:space="preserve">Operating cadence</t>
  </si>
  <si>
    <t xml:space="preserve">daily during execution; monthly treasury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</si>
  <si>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</si>
  <si>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</si>
  <si>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</si>
  <si>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</si>
  <si>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</si>
  <si>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</si>
  <si>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all-in cost and break-even</t>
  </si>
  <si>
    <t xml:space="preserve">OPEN</t>
  </si>
  <si>
    <t xml:space="preserve">maturity and refinancing profile</t>
  </si>
  <si>
    <t xml:space="preserve">ratings and covenant capacity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</si>
  <si>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</si>
  <si>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</si>
  <si>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</si>
  <si>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Where is the break-even between fixed and floating?</t>
  </si>
  <si>
    <t xml:space="preserve">What flex can arrangers exercise?</t>
  </si>
  <si>
    <t xml:space="preserve">Which maturities cluster under the downside?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</si>
  <si>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</si>
  <si>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</si>
  <si>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</si>
  <si>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base-rate and spread widening</t>
  </si>
  <si>
    <t xml:space="preserve">failed syndication / flex</t>
  </si>
  <si>
    <t xml:space="preserve">ratings downgrade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</si>
  <si>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</si>
  <si>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</si>
  <si>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</si>
  <si>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bank proposals and commitment letters</t>
  </si>
  <si>
    <t xml:space="preserve">indentures / credit agreements</t>
  </si>
  <si>
    <t xml:space="preserve">rating-agency feedback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</si>
  <si>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</si>
  <si>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</si>
  <si>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</si>
  <si>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sources and uses balance</t>
  </si>
  <si>
    <t xml:space="preserve">all-in yield includes fees and OID</t>
  </si>
  <si>
    <t xml:space="preserve">maturity ladder equals debt ledger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</si>
  <si>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</si>
  <si>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</si>
  <si>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</si>
  <si>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quoting coupon instead of all-in cost</t>
  </si>
  <si>
    <t xml:space="preserve">missing ticking fees and flex</t>
  </si>
  <si>
    <t xml:space="preserve">assuming refinancing proceeds before conditions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</si>
  <si>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</si>
  <si>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</si>
  <si>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</si>
  <si>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</si>
  <si>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</si>
  <si>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</si>
  <si>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</si>
  <si>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</si>
  <si>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</si>
  <si>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</si>
  <si>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</si>
  <si>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</si>
  <si>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SRP31 IRRBB</t>
  </si>
  <si>
    <t xml:space="preserve">EVE/NII, basis and option risk</t>
  </si>
  <si>
    <t xml:space="preserve">https://www.bis.org/basel_framework/chapter/SRP/31.htm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</si>
  <si>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</si>
  <si>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</si>
  <si>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</si>
  <si>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</si>
  <si>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</si>
  <si>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</si>
  <si>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</si>
  <si>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</si>
  <si>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</si>
  <si>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</si>
  <si>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</si>
  <si>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</si>
  <si>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</si>
  <si>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</si>
  <si>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</si>
  <si>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</si>
  <si>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debt ledger</t>
  </si>
  <si>
    <t xml:space="preserve">daily/weekly</t>
  </si>
  <si>
    <t xml:space="preserve">principal and legal-entity reconciliation</t>
  </si>
  <si>
    <t xml:space="preserve">TO MAP</t>
  </si>
  <si>
    <t xml:space="preserve">curves and spreads</t>
  </si>
  <si>
    <t xml:space="preserve">daily</t>
  </si>
  <si>
    <t xml:space="preserve">timestamped executable levels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</si>
  <si>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</si>
  <si>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</si>
  <si>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</si>
  <si>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</si>
  <si>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</si>
  <si>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</si>
  <si>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Issuance &amp; Capital Structure Assumptions</t>
  </si>
  <si>
    <t xml:space="preserve">Assumption</t>
  </si>
  <si>
    <t xml:space="preserve">Base</t>
  </si>
  <si>
    <t xml:space="preserve">Active</t>
  </si>
  <si>
    <t xml:space="preserve">Note</t>
  </si>
  <si>
    <t xml:space="preserve">EBITDA</t>
  </si>
  <si>
    <t xml:space="preserve">Cash</t>
  </si>
  <si>
    <t xml:space="preserve">Revolver drawn</t>
  </si>
  <si>
    <t xml:space="preserve">Term loan</t>
  </si>
  <si>
    <t xml:space="preserve">Senior notes</t>
  </si>
  <si>
    <t xml:space="preserve">Other debt</t>
  </si>
  <si>
    <t xml:space="preserve">Base rate</t>
  </si>
  <si>
    <t xml:space="preserve">Revolver spread</t>
  </si>
  <si>
    <t xml:space="preserve">Term loan spread</t>
  </si>
  <si>
    <t xml:space="preserve">Senior notes coupon</t>
  </si>
  <si>
    <t xml:space="preserve">New issue spread</t>
  </si>
  <si>
    <t xml:space="preserve">OID / fees</t>
  </si>
  <si>
    <t xml:space="preserve">Minimum cash</t>
  </si>
  <si>
    <t xml:space="preserve">Max leverage</t>
  </si>
  <si>
    <t xml:space="preserve">Min interest coverage</t>
  </si>
  <si>
    <t xml:space="preserve">Recovery multiple</t>
  </si>
  <si>
    <t xml:space="preserve">EV haircut</t>
  </si>
  <si>
    <t xml:space="preserve">Current Capital Structure</t>
  </si>
  <si>
    <t xml:space="preserve">Instrument</t>
  </si>
  <si>
    <t xml:space="preserve">Balance</t>
  </si>
  <si>
    <t xml:space="preserve">Rate</t>
  </si>
  <si>
    <t xml:space="preserve">Annual interest</t>
  </si>
  <si>
    <t xml:space="preserve">Seniority</t>
  </si>
  <si>
    <t xml:space="preserve">Secured?</t>
  </si>
  <si>
    <t xml:space="preserve">Revolver</t>
  </si>
  <si>
    <t xml:space="preserve">1</t>
  </si>
  <si>
    <t xml:space="preserve">Yes</t>
  </si>
  <si>
    <t xml:space="preserve">2</t>
  </si>
  <si>
    <t xml:space="preserve">3</t>
  </si>
  <si>
    <t xml:space="preserve">No</t>
  </si>
  <si>
    <t xml:space="preserve">4</t>
  </si>
  <si>
    <t xml:space="preserve">Varies</t>
  </si>
  <si>
    <t xml:space="preserve">Gross debt</t>
  </si>
  <si>
    <t xml:space="preserve">Net debt</t>
  </si>
  <si>
    <t xml:space="preserve">Cash interest</t>
  </si>
  <si>
    <t xml:space="preserve">Gross leverage</t>
  </si>
  <si>
    <t xml:space="preserve">Net leverage</t>
  </si>
  <si>
    <t xml:space="preserve">Interest coverage</t>
  </si>
  <si>
    <t xml:space="preserve">Contractual Maturity Ladder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</si>
  <si>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</si>
  <si>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</si>
  <si>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</si>
  <si>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</si>
  <si>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</si>
  <si>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Beyond</t>
  </si>
  <si>
    <t xml:space="preserve">Total maturities</t>
  </si>
  <si>
    <t xml:space="preserve">Cumulative maturities / gross debt</t>
  </si>
  <si>
    <t xml:space="preserve">Near-term maturities (Years 1-2)</t>
  </si>
  <si>
    <t xml:space="preserve">Available cash and committed lines</t>
  </si>
  <si>
    <t xml:space="preserve">Refinancing gap</t>
  </si>
  <si>
    <t xml:space="preserve">Largest maturity / total</t>
  </si>
  <si>
    <t xml:space="preserve">Refinancing Sources &amp; Uses</t>
  </si>
  <si>
    <t xml:space="preserve">Uses</t>
  </si>
  <si>
    <t xml:space="preserve">Amount</t>
  </si>
  <si>
    <t xml:space="preserve">Sources</t>
  </si>
  <si>
    <t xml:space="preserve">Pricing / note</t>
  </si>
  <si>
    <t xml:space="preserve">Refinance current debt</t>
  </si>
  <si>
    <t xml:space="preserve">New term debt</t>
  </si>
  <si>
    <t xml:space="preserve">Minimum cash funding</t>
  </si>
  <si>
    <t xml:space="preserve">Existing cash</t>
  </si>
  <si>
    <t xml:space="preserve">Fees / OID</t>
  </si>
  <si>
    <t xml:space="preserve">Equity / other</t>
  </si>
  <si>
    <t xml:space="preserve">Total uses</t>
  </si>
  <si>
    <t xml:space="preserve">Total sources</t>
  </si>
  <si>
    <t xml:space="preserve">Pro forma gross leverage</t>
  </si>
  <si>
    <t xml:space="preserve">Pro forma annual cash interest</t>
  </si>
  <si>
    <t xml:space="preserve">Pro forma interest coverage</t>
  </si>
  <si>
    <t xml:space="preserve">Interest Rate &amp; Spread Sensitivity</t>
  </si>
  <si>
    <t xml:space="preserve">Base-rate shock / spread shock</t>
  </si>
  <si>
    <t xml:space="preserve">Covenant &amp; Rating Screens</t>
  </si>
  <si>
    <t xml:space="preserve">Metric</t>
  </si>
  <si>
    <t xml:space="preserve">Actual</t>
  </si>
  <si>
    <t xml:space="preserve">Threshold</t>
  </si>
  <si>
    <t xml:space="preserve">Headroom / status</t>
  </si>
  <si>
    <t xml:space="preserve">Near-term maturities / debt</t>
  </si>
  <si>
    <t xml:space="preserve">Refinancing status</t>
  </si>
  <si>
    <t xml:space="preserve">PASS</t>
  </si>
  <si>
    <t xml:space="preserve">Claim Recovery Waterfall</t>
  </si>
  <si>
    <t xml:space="preserve">Stressed EBITDA</t>
  </si>
  <si>
    <t xml:space="preserve">Enterprise value</t>
  </si>
  <si>
    <t xml:space="preserve">Distributable value</t>
  </si>
  <si>
    <t xml:space="preserve">Recovery value</t>
  </si>
  <si>
    <t xml:space="preserve">Recovery rate</t>
  </si>
  <si>
    <t xml:space="preserve">LGD</t>
  </si>
  <si>
    <t xml:space="preserve">Model Checks</t>
  </si>
  <si>
    <t xml:space="preserve">Check</t>
  </si>
  <si>
    <t xml:space="preserve">Sources equal uses</t>
  </si>
  <si>
    <t xml:space="preserve">Debt nonnegative</t>
  </si>
  <si>
    <t xml:space="preserve">Maturities reconcile</t>
  </si>
  <si>
    <t xml:space="preserve">Recovery bounded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</si>
  <si>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</si>
  <si>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</si>
  <si>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</si>
  <si>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</si>
  <si>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</si>
  <si>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Debt instruments</t>
  </si>
  <si>
    <t xml:space="preserve">Credit agreements, indentures, or filings</t>
  </si>
  <si>
    <t xml:space="preserve">Balance, rate, maturity, collateral and covenants</t>
  </si>
  <si>
    <t xml:space="preserve">Market pricing</t>
  </si>
  <si>
    <t xml:space="preserve">Treasury / swap curve and comparable new issues</t>
  </si>
  <si>
    <t xml:space="preserve">Freeze base-rate and spread assumptions</t>
  </si>
  <si>
    <t xml:space="preserve">Financial statements</t>
  </si>
  <si>
    <t xml:space="preserve">Audited statements or filing</t>
  </si>
  <si>
    <t xml:space="preserve">[period]</t>
  </si>
  <si>
    <t xml:space="preserve">EBITDA, cash and debt reconciliation</t>
  </si>
  <si>
    <t xml:space="preserve">Recovery methodology</t>
  </si>
  <si>
    <t xml:space="preserve">Documented enterprise-value and priority assumptions</t>
  </si>
  <si>
    <t xml:space="preserve">Claim-level recovery bridge</t>
  </si>
  <si>
    <t xml:space="preserve">Carnival 2020 Form 10-K</t>
  </si>
  <si>
    <t xml:space="preserve">https://www.sec.gov/Archives/edgar/data/815097/000081509721000012/ccl-20201130.htm</t>
  </si>
  <si>
    <t xml:space="preserve">U.S. SEC / Carnival; frozen curated observation as of case date</t>
  </si>
  <si>
    <t xml:space="preserve">Frozen source snapshot</t>
  </si>
  <si>
    <t xml:space="preserve">repo://06_Debt_Finance/sources/snapshots/debt-public-carnival-2020-stress.json</t>
  </si>
  <si>
    <t xml:space="preserve">Immutable curated observation package with SHA-256 digest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</si>
  <si>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</si>
  <si>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</si>
  <si>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</si>
  <si>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</si>
  <si>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</si>
  <si>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</si>
  <si>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2026-08-04</t>
  </si>
  <si>
    <t xml:space="preserve">External historical evidence materialization</t>
  </si>
  <si>
    <t xml:space="preserve">Generated public case debt-public-carnival-2020-stress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</si>
  <si>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</si>
  <si>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</si>
  <si>
    <t xml:space="preserve">Debt Rollforward, Maturity Wall, Weighted Cost, and Coverage</t>
  </si>
  <si>
    <t xml:space="preserve">Adversarial</t>
  </si>
  <si>
    <t xml:space="preserve">Units / control</t>
  </si>
  <si>
    <t xml:space="preserve">Opening debt</t>
  </si>
  <si>
    <t xml:space="preserve">Issuance</t>
  </si>
  <si>
    <t xml:space="preserve">Repayments</t>
  </si>
  <si>
    <t xml:space="preserve">Year 1 maturity</t>
  </si>
  <si>
    <t xml:space="preserve">Year 2 maturity</t>
  </si>
  <si>
    <t xml:space="preserve">Year 3 maturity</t>
  </si>
  <si>
    <t xml:space="preserve">Year 4 maturity</t>
  </si>
  <si>
    <t xml:space="preserve">Year 5 maturity</t>
  </si>
  <si>
    <t xml:space="preserve">Liquidity</t>
  </si>
  <si>
    <t xml:space="preserve">Committed lines</t>
  </si>
  <si>
    <t xml:space="preserve">Tranche 1 amount</t>
  </si>
  <si>
    <t xml:space="preserve">Tranche 1 rate</t>
  </si>
  <si>
    <t xml:space="preserve">Tranche 2 amount</t>
  </si>
  <si>
    <t xml:space="preserve">Tranche 2 rate</t>
  </si>
  <si>
    <t xml:space="preserve">Maximum maturity concentration</t>
  </si>
  <si>
    <t xml:space="preserve">Minimum interest coverage</t>
  </si>
  <si>
    <t xml:space="preserve">Maximum weighted cost</t>
  </si>
  <si>
    <t xml:space="preserve">Ending debt</t>
  </si>
  <si>
    <t xml:space="preserve">Near-term maturities</t>
  </si>
  <si>
    <t xml:space="preserve">Maturity concentration</t>
  </si>
  <si>
    <t xml:space="preserve">Weighted cost</t>
  </si>
  <si>
    <t xml:space="preserve">Debt Finance Decision Dashboard and Independent Checks</t>
  </si>
  <si>
    <t xml:space="preserve">Check / decision</t>
  </si>
  <si>
    <t xml:space="preserve">Interpretation / action</t>
  </si>
  <si>
    <t xml:space="preserve">Debt rollforward residual</t>
  </si>
  <si>
    <t xml:space="preserve">Debt must reconcile to issuance and repayment.</t>
  </si>
  <si>
    <t xml:space="preserve">Weighted-cost residual</t>
  </si>
  <si>
    <t xml:space="preserve">Weighted pricing must reconcile to tranche balances and rates.</t>
  </si>
  <si>
    <t xml:space="preserve">Near-term maturities must be covered by liquidity and committed facilities.</t>
  </si>
  <si>
    <t xml:space="preserve">Escalate concentrated maturity walls.</t>
  </si>
  <si>
    <t xml:space="preserve">EBITDA must cover pro forma cash interest.</t>
  </si>
  <si>
    <t xml:space="preserve">Weighted refinancing cost</t>
  </si>
  <si>
    <t xml:space="preserve">Escalate expensive issuance and rate-reset risk.</t>
  </si>
  <si>
    <t xml:space="preserve">Overall model status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</si>
</sst>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;[RED]&quot;($&quot;#,##0.0\);\-"/>
    <numFmt numFmtId="166" formatCode="0.0%;[RED]\(0.0%\);\-"/>
    <numFmt numFmtId="167" formatCode="0.0\x;[RED]\(0.0&quot;x)&quot;;\-"/>
    <numFmt numFmtId="168" formatCode="\$#,##0;&quot;($&quot;#,##0\);\-"/>
    <numFmt numFmtId="169" formatCode="0.0%;\(0.0%\);\-"/>
    <numFmt numFmtId="170" formatCode="0.00%;[RED]\(0.00%\);\-"/>
    <numFmt numFmtId="171" formatCode="0&quot; bps&quot;"/>
    <numFmt numFmtId="172" formatCode="0.0\x"/>
    <numFmt numFmtId="173" formatCode="#,##0;\(#,##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8000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6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5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4" t="s">
        <v>10</v>
      </c>
    </row>
    <row r="9" customFormat="false" ht="15" hidden="false" customHeight="true" outlineLevel="0" collapsed="false">
      <c r="B9" s="3" t="s">
        <v>11</v>
      </c>
      <c r="C9" s="5" t="s">
        <v>12</v>
      </c>
    </row>
    <row r="10" customFormat="false" ht="15" hidden="false" customHeight="true" outlineLevel="0" collapsed="false">
      <c r="B10" s="3" t="s">
        <v>13</v>
      </c>
      <c r="C10" s="4" t="s">
        <v>14</v>
      </c>
    </row>
    <row r="13" customFormat="false" ht="15" hidden="false" customHeight="true" outlineLevel="0" collapsed="false">
      <c r="B13" s="6" t="s">
        <v>15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16</v>
      </c>
      <c r="C14" s="8" t="s">
        <v>17</v>
      </c>
    </row>
    <row r="15" customFormat="false" ht="15" hidden="false" customHeight="true" outlineLevel="0" collapsed="false">
      <c r="B15" s="3" t="s">
        <v>18</v>
      </c>
      <c r="C15" s="8" t="s">
        <v>19</v>
      </c>
    </row>
    <row r="16" customFormat="false" ht="15" hidden="false" customHeight="true" outlineLevel="0" collapsed="false">
      <c r="B16" s="9" t="s">
        <v>20</v>
      </c>
      <c r="C16" s="8" t="s">
        <v>21</v>
      </c>
    </row>
    <row r="17" customFormat="false" ht="15" hidden="false" customHeight="true" outlineLevel="0" collapsed="false">
      <c r="B17" s="3" t="s">
        <v>22</v>
      </c>
      <c r="C17" s="8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1" width="26"/>
    <col collapsed="false" customWidth="true" hidden="false" outlineLevel="0" max="3" min="3" style="1" width="48"/>
    <col collapsed="false" customWidth="true" hidden="false" outlineLevel="0" max="4" min="4" style="1" width="24"/>
    <col collapsed="false" customWidth="true" hidden="false" outlineLevel="0" max="5" min="5" style="1" width="34"/>
    <col collapsed="false" customWidth="true" hidden="false" outlineLevel="0" max="6" min="6" style="1" width="20"/>
  </cols>
  <sheetData>
    <row r="2" customFormat="false" ht="18" hidden="false" customHeight="true" outlineLevel="0" collapsed="false">
      <c r="B2" s="10" t="s">
        <v>24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25</v>
      </c>
      <c r="C4" s="12" t="s">
        <v>26</v>
      </c>
      <c r="D4" s="12"/>
      <c r="E4" s="12"/>
      <c r="F4" s="12"/>
    </row>
    <row r="5" customFormat="false" ht="15" hidden="false" customHeight="true" outlineLevel="0" collapsed="false">
      <c r="B5" s="11" t="s">
        <v>27</v>
      </c>
      <c r="C5" s="12" t="s">
        <v>28</v>
      </c>
      <c r="D5" s="12"/>
      <c r="E5" s="12"/>
      <c r="F5" s="12"/>
    </row>
    <row r="6" customFormat="false" ht="15" hidden="false" customHeight="true" outlineLevel="0" collapsed="false">
      <c r="B6" s="11" t="s">
        <v>29</v>
      </c>
      <c r="C6" s="12" t="s">
        <v>30</v>
      </c>
      <c r="D6" s="12"/>
      <c r="E6" s="12"/>
      <c r="F6" s="12"/>
    </row>
    <row r="7" customFormat="false" ht="15" hidden="false" customHeight="true" outlineLevel="0" collapsed="false">
      <c r="B7" s="11" t="s">
        <v>31</v>
      </c>
      <c r="C7" s="12" t="s">
        <v>32</v>
      </c>
      <c r="D7" s="12"/>
      <c r="E7" s="12"/>
      <c r="F7" s="12"/>
    </row>
    <row r="8" customFormat="false" ht="15" hidden="false" customHeight="true" outlineLevel="0" collapsed="false">
      <c r="B8" s="11" t="s">
        <v>33</v>
      </c>
      <c r="C8" s="12" t="s">
        <v>34</v>
      </c>
      <c r="D8" s="12"/>
      <c r="E8" s="12"/>
      <c r="F8" s="12"/>
    </row>
    <row r="9" customFormat="false" ht="15" hidden="false" customHeight="true" outlineLevel="0" collapsed="false">
      <c r="B9" s="11" t="s">
        <v>35</v>
      </c>
      <c r="C9" s="12" t="s">
        <v>36</v>
      </c>
      <c r="D9" s="12"/>
      <c r="E9" s="12"/>
      <c r="F9" s="12"/>
    </row>
    <row r="10" customFormat="false" ht="15" hidden="false" customHeight="true" outlineLevel="0" collapsed="false">
      <c r="B10" s="11" t="s">
        <v>37</v>
      </c>
      <c r="C10" s="12" t="s">
        <v>38</v>
      </c>
      <c r="D10" s="12"/>
      <c r="E10" s="12"/>
      <c r="F10" s="12"/>
    </row>
    <row r="12" customFormat="false" ht="15" hidden="false" customHeight="true" outlineLevel="0" collapsed="false">
      <c r="B12" s="13" t="s">
        <v>39</v>
      </c>
      <c r="C12" s="13"/>
      <c r="D12" s="13"/>
      <c r="E12" s="13"/>
      <c r="F12" s="13"/>
    </row>
    <row r="13" customFormat="false" ht="15" hidden="false" customHeight="true" outlineLevel="0" collapsed="false">
      <c r="B13" s="14" t="s">
        <v>40</v>
      </c>
      <c r="C13" s="14" t="s">
        <v>41</v>
      </c>
      <c r="D13" s="14" t="s">
        <v>42</v>
      </c>
      <c r="E13" s="14" t="s">
        <v>43</v>
      </c>
      <c r="F13" s="14" t="s">
        <v>44</v>
      </c>
    </row>
    <row r="14" customFormat="false" ht="15" hidden="false" customHeight="true" outlineLevel="0" collapsed="false">
      <c r="B14" s="1" t="n">
        <v>1</v>
      </c>
      <c r="C14" s="1" t="s">
        <v>45</v>
      </c>
      <c r="F14" s="15" t="s">
        <v>46</v>
      </c>
    </row>
    <row r="15" customFormat="false" ht="15" hidden="false" customHeight="true" outlineLevel="0" collapsed="false">
      <c r="B15" s="1" t="n">
        <v>2</v>
      </c>
      <c r="C15" s="1" t="s">
        <v>47</v>
      </c>
      <c r="F15" s="15" t="s">
        <v>46</v>
      </c>
    </row>
    <row r="16" customFormat="false" ht="15" hidden="false" customHeight="true" outlineLevel="0" collapsed="false">
      <c r="B16" s="1" t="n">
        <v>3</v>
      </c>
      <c r="C16" s="1" t="s">
        <v>48</v>
      </c>
      <c r="F16" s="15" t="s">
        <v>46</v>
      </c>
    </row>
    <row r="17" customFormat="false" ht="15" hidden="false" customHeight="true" outlineLevel="0" collapsed="false">
      <c r="B17" s="1" t="n">
        <v>4</v>
      </c>
      <c r="C17" s="1" t="s">
        <v>49</v>
      </c>
      <c r="F17" s="15" t="s">
        <v>46</v>
      </c>
    </row>
    <row r="18" customFormat="false" ht="15" hidden="false" customHeight="true" outlineLevel="0" collapsed="false">
      <c r="B18" s="1" t="n">
        <v>5</v>
      </c>
      <c r="C18" s="1" t="s">
        <v>50</v>
      </c>
      <c r="F18" s="15" t="s">
        <v>46</v>
      </c>
    </row>
    <row r="20" customFormat="false" ht="15" hidden="false" customHeight="true" outlineLevel="0" collapsed="false">
      <c r="B20" s="13" t="s">
        <v>51</v>
      </c>
      <c r="C20" s="13"/>
      <c r="D20" s="13"/>
      <c r="E20" s="13"/>
      <c r="F20" s="13"/>
    </row>
    <row r="21" customFormat="false" ht="15" hidden="false" customHeight="true" outlineLevel="0" collapsed="false">
      <c r="B21" s="14" t="s">
        <v>40</v>
      </c>
      <c r="C21" s="14" t="s">
        <v>41</v>
      </c>
      <c r="D21" s="14" t="s">
        <v>42</v>
      </c>
      <c r="E21" s="14" t="s">
        <v>43</v>
      </c>
      <c r="F21" s="14" t="s">
        <v>44</v>
      </c>
    </row>
    <row r="22" customFormat="false" ht="15" hidden="false" customHeight="true" outlineLevel="0" collapsed="false">
      <c r="B22" s="1" t="n">
        <v>1</v>
      </c>
      <c r="C22" s="1" t="s">
        <v>52</v>
      </c>
      <c r="F22" s="15" t="s">
        <v>46</v>
      </c>
    </row>
    <row r="23" customFormat="false" ht="15" hidden="false" customHeight="true" outlineLevel="0" collapsed="false">
      <c r="B23" s="1" t="n">
        <v>2</v>
      </c>
      <c r="C23" s="1" t="s">
        <v>53</v>
      </c>
      <c r="F23" s="15" t="s">
        <v>46</v>
      </c>
    </row>
    <row r="24" customFormat="false" ht="15" hidden="false" customHeight="true" outlineLevel="0" collapsed="false">
      <c r="B24" s="1" t="n">
        <v>3</v>
      </c>
      <c r="C24" s="1" t="s">
        <v>54</v>
      </c>
      <c r="F24" s="15" t="s">
        <v>46</v>
      </c>
    </row>
    <row r="25" customFormat="false" ht="15" hidden="false" customHeight="true" outlineLevel="0" collapsed="false">
      <c r="B25" s="1" t="n">
        <v>4</v>
      </c>
      <c r="C25" s="1" t="s">
        <v>55</v>
      </c>
      <c r="F25" s="15" t="s">
        <v>46</v>
      </c>
    </row>
    <row r="26" customFormat="false" ht="15" hidden="false" customHeight="true" outlineLevel="0" collapsed="false">
      <c r="B26" s="1" t="n">
        <v>5</v>
      </c>
      <c r="C26" s="1" t="s">
        <v>56</v>
      </c>
      <c r="F26" s="15" t="s">
        <v>46</v>
      </c>
    </row>
    <row r="28" customFormat="false" ht="15" hidden="false" customHeight="true" outlineLevel="0" collapsed="false">
      <c r="B28" s="13" t="s">
        <v>57</v>
      </c>
      <c r="C28" s="13"/>
      <c r="D28" s="13"/>
      <c r="E28" s="13"/>
      <c r="F28" s="13"/>
    </row>
    <row r="29" customFormat="false" ht="15" hidden="false" customHeight="true" outlineLevel="0" collapsed="false">
      <c r="B29" s="14" t="s">
        <v>40</v>
      </c>
      <c r="C29" s="14" t="s">
        <v>41</v>
      </c>
      <c r="D29" s="14" t="s">
        <v>42</v>
      </c>
      <c r="E29" s="14" t="s">
        <v>43</v>
      </c>
      <c r="F29" s="14" t="s">
        <v>44</v>
      </c>
    </row>
    <row r="30" customFormat="false" ht="15" hidden="false" customHeight="true" outlineLevel="0" collapsed="false">
      <c r="B30" s="1" t="n">
        <v>1</v>
      </c>
      <c r="C30" s="1" t="s">
        <v>58</v>
      </c>
      <c r="F30" s="15" t="s">
        <v>46</v>
      </c>
    </row>
    <row r="31" customFormat="false" ht="15" hidden="false" customHeight="true" outlineLevel="0" collapsed="false">
      <c r="B31" s="1" t="n">
        <v>2</v>
      </c>
      <c r="C31" s="1" t="s">
        <v>59</v>
      </c>
      <c r="F31" s="15" t="s">
        <v>46</v>
      </c>
    </row>
    <row r="32" customFormat="false" ht="15" hidden="false" customHeight="true" outlineLevel="0" collapsed="false">
      <c r="B32" s="1" t="n">
        <v>3</v>
      </c>
      <c r="C32" s="1" t="s">
        <v>60</v>
      </c>
      <c r="F32" s="15" t="s">
        <v>46</v>
      </c>
    </row>
    <row r="33" customFormat="false" ht="15" hidden="false" customHeight="true" outlineLevel="0" collapsed="false">
      <c r="B33" s="1" t="n">
        <v>4</v>
      </c>
      <c r="C33" s="1" t="s">
        <v>61</v>
      </c>
      <c r="F33" s="15" t="s">
        <v>46</v>
      </c>
    </row>
    <row r="34" customFormat="false" ht="15" hidden="false" customHeight="true" outlineLevel="0" collapsed="false">
      <c r="B34" s="1" t="n">
        <v>5</v>
      </c>
      <c r="C34" s="1" t="s">
        <v>62</v>
      </c>
      <c r="F34" s="15" t="s">
        <v>46</v>
      </c>
    </row>
    <row r="36" customFormat="false" ht="15" hidden="false" customHeight="true" outlineLevel="0" collapsed="false">
      <c r="B36" s="13" t="s">
        <v>63</v>
      </c>
      <c r="C36" s="13"/>
      <c r="D36" s="13"/>
      <c r="E36" s="13"/>
      <c r="F36" s="13"/>
    </row>
    <row r="37" customFormat="false" ht="15" hidden="false" customHeight="true" outlineLevel="0" collapsed="false">
      <c r="B37" s="14" t="s">
        <v>40</v>
      </c>
      <c r="C37" s="14" t="s">
        <v>41</v>
      </c>
      <c r="D37" s="14" t="s">
        <v>42</v>
      </c>
      <c r="E37" s="14" t="s">
        <v>43</v>
      </c>
      <c r="F37" s="14" t="s">
        <v>44</v>
      </c>
    </row>
    <row r="38" customFormat="false" ht="15" hidden="false" customHeight="true" outlineLevel="0" collapsed="false">
      <c r="B38" s="1" t="n">
        <v>1</v>
      </c>
      <c r="C38" s="1" t="s">
        <v>64</v>
      </c>
      <c r="F38" s="15" t="s">
        <v>46</v>
      </c>
    </row>
    <row r="39" customFormat="false" ht="15" hidden="false" customHeight="true" outlineLevel="0" collapsed="false">
      <c r="B39" s="1" t="n">
        <v>2</v>
      </c>
      <c r="C39" s="1" t="s">
        <v>65</v>
      </c>
      <c r="F39" s="15" t="s">
        <v>46</v>
      </c>
    </row>
    <row r="40" customFormat="false" ht="15" hidden="false" customHeight="true" outlineLevel="0" collapsed="false">
      <c r="B40" s="1" t="n">
        <v>3</v>
      </c>
      <c r="C40" s="1" t="s">
        <v>66</v>
      </c>
      <c r="F40" s="15" t="s">
        <v>46</v>
      </c>
    </row>
    <row r="41" customFormat="false" ht="15" hidden="false" customHeight="true" outlineLevel="0" collapsed="false">
      <c r="B41" s="1" t="n">
        <v>4</v>
      </c>
      <c r="C41" s="1" t="s">
        <v>67</v>
      </c>
      <c r="F41" s="15" t="s">
        <v>46</v>
      </c>
    </row>
    <row r="42" customFormat="false" ht="15" hidden="false" customHeight="true" outlineLevel="0" collapsed="false">
      <c r="B42" s="1" t="n">
        <v>5</v>
      </c>
      <c r="C42" s="1" t="s">
        <v>68</v>
      </c>
      <c r="F42" s="15" t="s">
        <v>46</v>
      </c>
    </row>
    <row r="44" customFormat="false" ht="15" hidden="false" customHeight="true" outlineLevel="0" collapsed="false">
      <c r="B44" s="13" t="s">
        <v>69</v>
      </c>
      <c r="C44" s="13"/>
      <c r="D44" s="13"/>
      <c r="E44" s="13"/>
      <c r="F44" s="13"/>
    </row>
    <row r="45" customFormat="false" ht="15" hidden="false" customHeight="true" outlineLevel="0" collapsed="false">
      <c r="B45" s="14" t="s">
        <v>40</v>
      </c>
      <c r="C45" s="14" t="s">
        <v>41</v>
      </c>
      <c r="D45" s="14" t="s">
        <v>42</v>
      </c>
      <c r="E45" s="14" t="s">
        <v>43</v>
      </c>
      <c r="F45" s="14" t="s">
        <v>44</v>
      </c>
    </row>
    <row r="46" customFormat="false" ht="15" hidden="false" customHeight="true" outlineLevel="0" collapsed="false">
      <c r="B46" s="1" t="n">
        <v>1</v>
      </c>
      <c r="C46" s="1" t="s">
        <v>70</v>
      </c>
      <c r="F46" s="15" t="s">
        <v>46</v>
      </c>
    </row>
    <row r="47" customFormat="false" ht="15" hidden="false" customHeight="true" outlineLevel="0" collapsed="false">
      <c r="B47" s="1" t="n">
        <v>2</v>
      </c>
      <c r="C47" s="1" t="s">
        <v>71</v>
      </c>
      <c r="F47" s="15" t="s">
        <v>46</v>
      </c>
    </row>
    <row r="48" customFormat="false" ht="15" hidden="false" customHeight="true" outlineLevel="0" collapsed="false">
      <c r="B48" s="1" t="n">
        <v>3</v>
      </c>
      <c r="C48" s="1" t="s">
        <v>72</v>
      </c>
      <c r="F48" s="15" t="s">
        <v>46</v>
      </c>
    </row>
    <row r="49" customFormat="false" ht="15" hidden="false" customHeight="true" outlineLevel="0" collapsed="false">
      <c r="B49" s="1" t="n">
        <v>4</v>
      </c>
      <c r="C49" s="1" t="s">
        <v>73</v>
      </c>
      <c r="F49" s="15" t="s">
        <v>46</v>
      </c>
    </row>
    <row r="50" customFormat="false" ht="15" hidden="false" customHeight="true" outlineLevel="0" collapsed="false">
      <c r="B50" s="1" t="n">
        <v>5</v>
      </c>
      <c r="C50" s="1" t="s">
        <v>74</v>
      </c>
      <c r="F50" s="15" t="s">
        <v>46</v>
      </c>
    </row>
    <row r="52" customFormat="false" ht="15" hidden="false" customHeight="true" outlineLevel="0" collapsed="false">
      <c r="B52" s="13" t="s">
        <v>75</v>
      </c>
      <c r="C52" s="13"/>
      <c r="D52" s="13"/>
      <c r="E52" s="13"/>
      <c r="F52" s="13"/>
    </row>
    <row r="53" customFormat="false" ht="15" hidden="false" customHeight="true" outlineLevel="0" collapsed="false">
      <c r="B53" s="14" t="s">
        <v>40</v>
      </c>
      <c r="C53" s="14" t="s">
        <v>41</v>
      </c>
      <c r="D53" s="14" t="s">
        <v>42</v>
      </c>
      <c r="E53" s="14" t="s">
        <v>43</v>
      </c>
      <c r="F53" s="14" t="s">
        <v>44</v>
      </c>
    </row>
    <row r="54" customFormat="false" ht="15" hidden="false" customHeight="true" outlineLevel="0" collapsed="false">
      <c r="B54" s="1" t="n">
        <v>1</v>
      </c>
      <c r="C54" s="1" t="s">
        <v>76</v>
      </c>
      <c r="F54" s="15" t="s">
        <v>46</v>
      </c>
    </row>
    <row r="55" customFormat="false" ht="15" hidden="false" customHeight="true" outlineLevel="0" collapsed="false">
      <c r="B55" s="1" t="n">
        <v>2</v>
      </c>
      <c r="C55" s="1" t="s">
        <v>77</v>
      </c>
      <c r="F55" s="15" t="s">
        <v>46</v>
      </c>
    </row>
    <row r="56" customFormat="false" ht="15" hidden="false" customHeight="true" outlineLevel="0" collapsed="false">
      <c r="B56" s="1" t="n">
        <v>3</v>
      </c>
      <c r="C56" s="1" t="s">
        <v>78</v>
      </c>
      <c r="F56" s="15" t="s">
        <v>46</v>
      </c>
    </row>
    <row r="57" customFormat="false" ht="15" hidden="false" customHeight="true" outlineLevel="0" collapsed="false">
      <c r="B57" s="1" t="n">
        <v>4</v>
      </c>
      <c r="C57" s="1" t="s">
        <v>79</v>
      </c>
      <c r="F57" s="15" t="s">
        <v>46</v>
      </c>
    </row>
    <row r="58" customFormat="false" ht="15" hidden="false" customHeight="true" outlineLevel="0" collapsed="false">
      <c r="B58" s="1" t="n">
        <v>5</v>
      </c>
      <c r="C58" s="1" t="s">
        <v>80</v>
      </c>
      <c r="F58" s="15" t="s">
        <v>46</v>
      </c>
    </row>
    <row r="60" customFormat="false" ht="15" hidden="false" customHeight="true" outlineLevel="0" collapsed="false">
      <c r="B60" s="13" t="s">
        <v>81</v>
      </c>
      <c r="C60" s="13"/>
      <c r="D60" s="13"/>
      <c r="E60" s="13"/>
      <c r="F60" s="13"/>
    </row>
    <row r="61" customFormat="false" ht="15" hidden="false" customHeight="true" outlineLevel="0" collapsed="false">
      <c r="B61" s="14" t="s">
        <v>82</v>
      </c>
      <c r="C61" s="14" t="s">
        <v>83</v>
      </c>
      <c r="D61" s="14" t="s">
        <v>84</v>
      </c>
      <c r="E61" s="14" t="s">
        <v>85</v>
      </c>
      <c r="F61" s="14" t="s">
        <v>86</v>
      </c>
    </row>
    <row r="62" customFormat="false" ht="15" hidden="false" customHeight="true" outlineLevel="0" collapsed="false">
      <c r="B62" s="1" t="s">
        <v>87</v>
      </c>
      <c r="C62" s="1" t="s">
        <v>88</v>
      </c>
      <c r="D62" s="1" t="s">
        <v>89</v>
      </c>
      <c r="E62" s="1" t="s">
        <v>90</v>
      </c>
    </row>
    <row r="63" customFormat="false" ht="15" hidden="false" customHeight="true" outlineLevel="0" collapsed="false">
      <c r="B63" s="1" t="s">
        <v>91</v>
      </c>
      <c r="C63" s="1" t="s">
        <v>92</v>
      </c>
      <c r="D63" s="1" t="s">
        <v>93</v>
      </c>
      <c r="E63" s="1" t="s">
        <v>90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1" width="13"/>
    <col collapsed="false" customWidth="true" hidden="false" outlineLevel="0" max="3" min="3" style="1" width="22"/>
    <col collapsed="false" customWidth="true" hidden="false" outlineLevel="0" max="4" min="4" style="1" width="52"/>
    <col collapsed="false" customWidth="true" hidden="false" outlineLevel="0" max="5" min="5" style="1" width="46"/>
    <col collapsed="false" customWidth="true" hidden="false" outlineLevel="0" max="6" min="6" style="1" width="36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14"/>
  </cols>
  <sheetData>
    <row r="2" customFormat="false" ht="18" hidden="false" customHeight="true" outlineLevel="0" collapsed="false">
      <c r="B2" s="10" t="s">
        <v>94</v>
      </c>
      <c r="C2" s="10"/>
      <c r="D2" s="10"/>
      <c r="E2" s="10"/>
      <c r="F2" s="10"/>
      <c r="G2" s="10"/>
      <c r="H2" s="10"/>
      <c r="I2" s="10"/>
    </row>
    <row r="4" customFormat="false" ht="15" hidden="false" customHeight="true" outlineLevel="0" collapsed="false">
      <c r="B4" s="14" t="s">
        <v>95</v>
      </c>
      <c r="C4" s="14" t="s">
        <v>96</v>
      </c>
      <c r="D4" s="14" t="s">
        <v>97</v>
      </c>
      <c r="E4" s="14" t="s">
        <v>98</v>
      </c>
      <c r="F4" s="14" t="s">
        <v>99</v>
      </c>
      <c r="G4" s="14" t="s">
        <v>100</v>
      </c>
      <c r="H4" s="14" t="s">
        <v>44</v>
      </c>
      <c r="I4" s="14" t="s">
        <v>101</v>
      </c>
    </row>
    <row r="5" customFormat="false" ht="15" hidden="false" customHeight="true" outlineLevel="0" collapsed="false">
      <c r="D5" s="1" t="s">
        <v>70</v>
      </c>
      <c r="H5" s="15" t="s">
        <v>46</v>
      </c>
    </row>
    <row r="6" customFormat="false" ht="15" hidden="false" customHeight="true" outlineLevel="0" collapsed="false">
      <c r="D6" s="1" t="s">
        <v>71</v>
      </c>
      <c r="H6" s="15" t="s">
        <v>46</v>
      </c>
    </row>
    <row r="7" customFormat="false" ht="15" hidden="false" customHeight="true" outlineLevel="0" collapsed="false">
      <c r="D7" s="1" t="s">
        <v>72</v>
      </c>
      <c r="H7" s="15" t="s">
        <v>46</v>
      </c>
    </row>
    <row r="8" customFormat="false" ht="15" hidden="false" customHeight="true" outlineLevel="0" collapsed="false">
      <c r="D8" s="1" t="s">
        <v>73</v>
      </c>
      <c r="H8" s="15" t="s">
        <v>46</v>
      </c>
    </row>
    <row r="9" customFormat="false" ht="15" hidden="false" customHeight="true" outlineLevel="0" collapsed="false">
      <c r="D9" s="1" t="s">
        <v>74</v>
      </c>
      <c r="H9" s="15" t="s">
        <v>46</v>
      </c>
    </row>
    <row r="10" customFormat="false" ht="15" hidden="false" customHeight="true" outlineLevel="0" collapsed="false">
      <c r="H10" s="15"/>
    </row>
    <row r="11" customFormat="false" ht="15" hidden="false" customHeight="true" outlineLevel="0" collapsed="false">
      <c r="H11" s="15"/>
    </row>
    <row r="12" customFormat="false" ht="15" hidden="false" customHeight="true" outlineLevel="0" collapsed="false">
      <c r="H12" s="15"/>
    </row>
    <row r="13" customFormat="false" ht="15" hidden="false" customHeight="true" outlineLevel="0" collapsed="false">
      <c r="H13" s="15"/>
    </row>
    <row r="14" customFormat="false" ht="15" hidden="false" customHeight="true" outlineLevel="0" collapsed="false">
      <c r="H14" s="15"/>
    </row>
    <row r="15" customFormat="false" ht="15" hidden="false" customHeight="true" outlineLevel="0" collapsed="false">
      <c r="H15" s="15"/>
    </row>
    <row r="16" customFormat="false" ht="15" hidden="false" customHeight="true" outlineLevel="0" collapsed="false">
      <c r="H16" s="15"/>
    </row>
    <row r="17" customFormat="false" ht="15" hidden="false" customHeight="true" outlineLevel="0" collapsed="false">
      <c r="H17" s="15"/>
    </row>
    <row r="18" customFormat="false" ht="15" hidden="false" customHeight="true" outlineLevel="0" collapsed="false">
      <c r="H18" s="15"/>
    </row>
    <row r="19" customFormat="false" ht="15" hidden="false" customHeight="true" outlineLevel="0" collapsed="false">
      <c r="H19" s="15"/>
    </row>
    <row r="20" customFormat="false" ht="15" hidden="false" customHeight="true" outlineLevel="0" collapsed="false">
      <c r="H20" s="15"/>
    </row>
    <row r="21" customFormat="false" ht="15" hidden="false" customHeight="true" outlineLevel="0" collapsed="false">
      <c r="H21" s="15"/>
    </row>
    <row r="22" customFormat="false" ht="15" hidden="false" customHeight="true" outlineLevel="0" collapsed="false">
      <c r="H22" s="15"/>
    </row>
    <row r="23" customFormat="false" ht="15" hidden="false" customHeight="true" outlineLevel="0" collapsed="false">
      <c r="H23" s="15"/>
    </row>
    <row r="24" customFormat="false" ht="15" hidden="false" customHeight="true" outlineLevel="0" collapsed="false">
      <c r="H24" s="15"/>
    </row>
    <row r="25" customFormat="false" ht="15" hidden="false" customHeight="true" outlineLevel="0" collapsed="false">
      <c r="H25" s="15"/>
    </row>
    <row r="26" customFormat="false" ht="15" hidden="false" customHeight="true" outlineLevel="0" collapsed="false">
      <c r="H26" s="15"/>
    </row>
    <row r="27" customFormat="false" ht="15" hidden="false" customHeight="true" outlineLevel="0" collapsed="false">
      <c r="H27" s="15"/>
    </row>
    <row r="28" customFormat="false" ht="15" hidden="false" customHeight="true" outlineLevel="0" collapsed="false">
      <c r="H28" s="15"/>
    </row>
    <row r="29" customFormat="false" ht="15" hidden="false" customHeight="true" outlineLevel="0" collapsed="false">
      <c r="H29" s="15"/>
    </row>
    <row r="30" customFormat="false" ht="15" hidden="false" customHeight="true" outlineLevel="0" collapsed="false">
      <c r="H30" s="15"/>
    </row>
    <row r="31" customFormat="false" ht="15" hidden="false" customHeight="true" outlineLevel="0" collapsed="false">
      <c r="H31" s="15"/>
    </row>
    <row r="32" customFormat="false" ht="15" hidden="false" customHeight="true" outlineLevel="0" collapsed="false">
      <c r="H32" s="15"/>
    </row>
    <row r="33" customFormat="false" ht="15" hidden="false" customHeight="true" outlineLevel="0" collapsed="false">
      <c r="H33" s="15"/>
    </row>
    <row r="34" customFormat="false" ht="15" hidden="false" customHeight="true" outlineLevel="0" collapsed="false">
      <c r="H34" s="15"/>
    </row>
    <row r="35" customFormat="false" ht="15" hidden="false" customHeight="true" outlineLevel="0" collapsed="false">
      <c r="H35" s="15"/>
    </row>
    <row r="36" customFormat="false" ht="15" hidden="false" customHeight="true" outlineLevel="0" collapsed="false">
      <c r="H36" s="15"/>
    </row>
    <row r="37" customFormat="false" ht="15" hidden="false" customHeight="true" outlineLevel="0" collapsed="false">
      <c r="H37" s="15"/>
    </row>
    <row r="38" customFormat="false" ht="15" hidden="false" customHeight="true" outlineLevel="0" collapsed="false">
      <c r="H38" s="15"/>
    </row>
    <row r="39" customFormat="false" ht="15" hidden="false" customHeight="true" outlineLevel="0" collapsed="false">
      <c r="H39" s="15"/>
    </row>
    <row r="40" customFormat="false" ht="15" hidden="false" customHeight="true" outlineLevel="0" collapsed="false">
      <c r="H40" s="15"/>
    </row>
    <row r="41" customFormat="false" ht="15" hidden="false" customHeight="true" outlineLevel="0" collapsed="false">
      <c r="H41" s="15"/>
    </row>
    <row r="42" customFormat="false" ht="15" hidden="false" customHeight="true" outlineLevel="0" collapsed="false">
      <c r="H42" s="15"/>
    </row>
    <row r="43" customFormat="false" ht="15" hidden="false" customHeight="true" outlineLevel="0" collapsed="false">
      <c r="H43" s="15"/>
    </row>
    <row r="44" customFormat="false" ht="15" hidden="false" customHeight="true" outlineLevel="0" collapsed="false">
      <c r="H44" s="15"/>
    </row>
    <row r="45" customFormat="false" ht="15" hidden="false" customHeight="true" outlineLevel="0" collapsed="false">
      <c r="H45" s="15"/>
    </row>
    <row r="46" customFormat="false" ht="15" hidden="false" customHeight="true" outlineLevel="0" collapsed="false">
      <c r="H46" s="15"/>
    </row>
    <row r="47" customFormat="false" ht="15" hidden="false" customHeight="true" outlineLevel="0" collapsed="false">
      <c r="H47" s="15"/>
    </row>
    <row r="48" customFormat="false" ht="15" hidden="false" customHeight="true" outlineLevel="0" collapsed="false">
      <c r="H48" s="15"/>
    </row>
    <row r="49" customFormat="false" ht="15" hidden="false" customHeight="true" outlineLevel="0" collapsed="false">
      <c r="H49" s="15"/>
    </row>
    <row r="50" customFormat="false" ht="15" hidden="false" customHeight="true" outlineLevel="0" collapsed="false">
      <c r="H50" s="15"/>
    </row>
    <row r="51" customFormat="false" ht="15" hidden="false" customHeight="true" outlineLevel="0" collapsed="false">
      <c r="H51" s="15"/>
    </row>
    <row r="52" customFormat="false" ht="15" hidden="false" customHeight="true" outlineLevel="0" collapsed="false">
      <c r="H52" s="15"/>
    </row>
    <row r="53" customFormat="false" ht="15" hidden="false" customHeight="true" outlineLevel="0" collapsed="false">
      <c r="H53" s="15"/>
    </row>
    <row r="54" customFormat="false" ht="15" hidden="false" customHeight="true" outlineLevel="0" collapsed="false">
      <c r="H54" s="15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42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42"/>
    <col collapsed="false" customWidth="true" hidden="false" outlineLevel="0" max="9" min="9" style="1" width="30"/>
    <col collapsed="false" customWidth="true" hidden="false" outlineLevel="0" max="10" min="10" style="1" width="15"/>
  </cols>
  <sheetData>
    <row r="2" customFormat="false" ht="18" hidden="false" customHeight="true" outlineLevel="0" collapsed="false">
      <c r="B2" s="10" t="s">
        <v>102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true" outlineLevel="0" collapsed="false">
      <c r="B4" s="14" t="s">
        <v>103</v>
      </c>
      <c r="C4" s="14" t="s">
        <v>104</v>
      </c>
      <c r="D4" s="14" t="s">
        <v>105</v>
      </c>
      <c r="E4" s="14" t="s">
        <v>106</v>
      </c>
      <c r="F4" s="14" t="s">
        <v>107</v>
      </c>
      <c r="G4" s="14" t="s">
        <v>42</v>
      </c>
      <c r="H4" s="14" t="s">
        <v>108</v>
      </c>
      <c r="I4" s="14" t="s">
        <v>109</v>
      </c>
      <c r="J4" s="14" t="s">
        <v>44</v>
      </c>
    </row>
    <row r="5" customFormat="false" ht="15" hidden="false" customHeight="true" outlineLevel="0" collapsed="false">
      <c r="B5" s="1" t="s">
        <v>110</v>
      </c>
      <c r="C5" s="1" t="s">
        <v>111</v>
      </c>
      <c r="D5" s="1" t="s">
        <v>112</v>
      </c>
      <c r="J5" s="15" t="s">
        <v>113</v>
      </c>
    </row>
    <row r="6" customFormat="false" ht="15" hidden="false" customHeight="true" outlineLevel="0" collapsed="false">
      <c r="B6" s="1" t="s">
        <v>114</v>
      </c>
      <c r="C6" s="1" t="s">
        <v>115</v>
      </c>
      <c r="D6" s="1" t="s">
        <v>116</v>
      </c>
      <c r="J6" s="15" t="s">
        <v>113</v>
      </c>
    </row>
    <row r="7" customFormat="false" ht="15" hidden="false" customHeight="true" outlineLevel="0" collapsed="false">
      <c r="B7" s="1" t="s">
        <v>117</v>
      </c>
      <c r="C7" s="1" t="s">
        <v>118</v>
      </c>
      <c r="D7" s="1" t="s">
        <v>119</v>
      </c>
      <c r="J7" s="15" t="s">
        <v>113</v>
      </c>
    </row>
    <row r="8" customFormat="false" ht="15" hidden="false" customHeight="true" outlineLevel="0" collapsed="false">
      <c r="B8" s="1" t="s">
        <v>120</v>
      </c>
      <c r="C8" s="1" t="s">
        <v>121</v>
      </c>
      <c r="D8" s="1" t="s">
        <v>122</v>
      </c>
      <c r="J8" s="15" t="s">
        <v>113</v>
      </c>
    </row>
    <row r="9" customFormat="false" ht="15" hidden="false" customHeight="true" outlineLevel="0" collapsed="false">
      <c r="J9" s="15"/>
    </row>
    <row r="10" customFormat="false" ht="15" hidden="false" customHeight="true" outlineLevel="0" collapsed="false">
      <c r="J10" s="15"/>
    </row>
    <row r="11" customFormat="false" ht="15" hidden="false" customHeight="true" outlineLevel="0" collapsed="false">
      <c r="J11" s="15"/>
    </row>
    <row r="12" customFormat="false" ht="15" hidden="false" customHeight="true" outlineLevel="0" collapsed="false">
      <c r="J12" s="15"/>
    </row>
    <row r="13" customFormat="false" ht="15" hidden="false" customHeight="true" outlineLevel="0" collapsed="false">
      <c r="J13" s="15"/>
    </row>
    <row r="14" customFormat="false" ht="15" hidden="false" customHeight="true" outlineLevel="0" collapsed="false">
      <c r="J14" s="15"/>
    </row>
    <row r="15" customFormat="false" ht="15" hidden="false" customHeight="true" outlineLevel="0" collapsed="false">
      <c r="J15" s="15"/>
    </row>
    <row r="16" customFormat="false" ht="15" hidden="false" customHeight="true" outlineLevel="0" collapsed="false">
      <c r="J16" s="15"/>
    </row>
    <row r="17" customFormat="false" ht="15" hidden="false" customHeight="true" outlineLevel="0" collapsed="false">
      <c r="J17" s="15"/>
    </row>
    <row r="18" customFormat="false" ht="15" hidden="false" customHeight="true" outlineLevel="0" collapsed="false">
      <c r="J18" s="15"/>
    </row>
    <row r="19" customFormat="false" ht="15" hidden="false" customHeight="true" outlineLevel="0" collapsed="false">
      <c r="J19" s="15"/>
    </row>
    <row r="20" customFormat="false" ht="15" hidden="false" customHeight="true" outlineLevel="0" collapsed="false">
      <c r="J20" s="15"/>
    </row>
    <row r="21" customFormat="false" ht="15" hidden="false" customHeight="true" outlineLevel="0" collapsed="false">
      <c r="J21" s="15"/>
    </row>
    <row r="22" customFormat="false" ht="15" hidden="false" customHeight="true" outlineLevel="0" collapsed="false">
      <c r="J22" s="15"/>
    </row>
    <row r="23" customFormat="false" ht="15" hidden="false" customHeight="true" outlineLevel="0" collapsed="false">
      <c r="J23" s="15"/>
    </row>
    <row r="24" customFormat="false" ht="15" hidden="false" customHeight="true" outlineLevel="0" collapsed="false">
      <c r="J24" s="15"/>
    </row>
    <row r="25" customFormat="false" ht="15" hidden="false" customHeight="true" outlineLevel="0" collapsed="false">
      <c r="J25" s="15"/>
    </row>
    <row r="26" customFormat="false" ht="15" hidden="false" customHeight="true" outlineLevel="0" collapsed="false">
      <c r="J26" s="15"/>
    </row>
    <row r="27" customFormat="false" ht="15" hidden="false" customHeight="true" outlineLevel="0" collapsed="false">
      <c r="J27" s="15"/>
    </row>
    <row r="28" customFormat="false" ht="15" hidden="false" customHeight="true" outlineLevel="0" collapsed="false">
      <c r="J28" s="15"/>
    </row>
    <row r="29" customFormat="false" ht="15" hidden="false" customHeight="true" outlineLevel="0" collapsed="false">
      <c r="J29" s="15"/>
    </row>
    <row r="30" customFormat="false" ht="15" hidden="false" customHeight="true" outlineLevel="0" collapsed="false">
      <c r="J30" s="15"/>
    </row>
    <row r="31" customFormat="false" ht="15" hidden="false" customHeight="true" outlineLevel="0" collapsed="false">
      <c r="J31" s="15"/>
    </row>
    <row r="32" customFormat="false" ht="15" hidden="false" customHeight="true" outlineLevel="0" collapsed="false">
      <c r="J32" s="15"/>
    </row>
    <row r="33" customFormat="false" ht="15" hidden="false" customHeight="true" outlineLevel="0" collapsed="false">
      <c r="J33" s="15"/>
    </row>
    <row r="34" customFormat="false" ht="15" hidden="false" customHeight="true" outlineLevel="0" collapsed="false">
      <c r="J34" s="15"/>
    </row>
    <row r="35" customFormat="false" ht="15" hidden="false" customHeight="true" outlineLevel="0" collapsed="false">
      <c r="J35" s="15"/>
    </row>
    <row r="36" customFormat="false" ht="15" hidden="false" customHeight="true" outlineLevel="0" collapsed="false">
      <c r="J36" s="15"/>
    </row>
    <row r="37" customFormat="false" ht="15" hidden="false" customHeight="true" outlineLevel="0" collapsed="false">
      <c r="J37" s="15"/>
    </row>
    <row r="38" customFormat="false" ht="15" hidden="false" customHeight="true" outlineLevel="0" collapsed="false">
      <c r="J38" s="15"/>
    </row>
    <row r="39" customFormat="false" ht="15" hidden="false" customHeight="true" outlineLevel="0" collapsed="false">
      <c r="J39" s="15"/>
    </row>
    <row r="40" customFormat="false" ht="15" hidden="false" customHeight="true" outlineLevel="0" collapsed="false">
      <c r="J40" s="15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5" min="3" style="1" width="15"/>
    <col collapsed="false" customWidth="true" hidden="false" outlineLevel="0" max="6" min="6" style="1" width="30"/>
  </cols>
  <sheetData>
    <row r="2" customFormat="false" ht="27.75" hidden="false" customHeight="true" outlineLevel="0" collapsed="false">
      <c r="B2" s="2" t="s">
        <v>123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124</v>
      </c>
      <c r="C4" s="16" t="s">
        <v>125</v>
      </c>
      <c r="D4" s="16" t="s">
        <v>12</v>
      </c>
      <c r="E4" s="16" t="s">
        <v>126</v>
      </c>
      <c r="F4" s="16" t="s">
        <v>127</v>
      </c>
    </row>
    <row r="5" customFormat="false" ht="15" hidden="false" customHeight="true" outlineLevel="0" collapsed="false">
      <c r="B5" s="1" t="s">
        <v>128</v>
      </c>
      <c r="C5" s="17" t="n">
        <v>120</v>
      </c>
      <c r="D5" s="17" t="n">
        <v>95</v>
      </c>
      <c r="E5" s="18" t="n">
        <f aca="false">IF(Cover!$C$9="Downside",D5,C5)</f>
        <v>95</v>
      </c>
    </row>
    <row r="6" customFormat="false" ht="15" hidden="false" customHeight="true" outlineLevel="0" collapsed="false">
      <c r="B6" s="1" t="s">
        <v>129</v>
      </c>
      <c r="C6" s="17" t="n">
        <v>40</v>
      </c>
      <c r="D6" s="17" t="n">
        <v>25</v>
      </c>
      <c r="E6" s="18" t="n">
        <f aca="false">IF(Cover!$C$9="Downside",D6,C6)</f>
        <v>25</v>
      </c>
    </row>
    <row r="7" customFormat="false" ht="15" hidden="false" customHeight="true" outlineLevel="0" collapsed="false">
      <c r="B7" s="1" t="s">
        <v>130</v>
      </c>
      <c r="C7" s="17" t="n">
        <v>25</v>
      </c>
      <c r="D7" s="17" t="n">
        <v>75</v>
      </c>
      <c r="E7" s="18" t="n">
        <f aca="false">IF(Cover!$C$9="Downside",D7,C7)</f>
        <v>75</v>
      </c>
    </row>
    <row r="8" customFormat="false" ht="15" hidden="false" customHeight="true" outlineLevel="0" collapsed="false">
      <c r="B8" s="1" t="s">
        <v>131</v>
      </c>
      <c r="C8" s="17" t="n">
        <v>300</v>
      </c>
      <c r="D8" s="17" t="n">
        <v>300</v>
      </c>
      <c r="E8" s="18" t="n">
        <f aca="false">IF(Cover!$C$9="Downside",D8,C8)</f>
        <v>300</v>
      </c>
    </row>
    <row r="9" customFormat="false" ht="15" hidden="false" customHeight="true" outlineLevel="0" collapsed="false">
      <c r="B9" s="1" t="s">
        <v>132</v>
      </c>
      <c r="C9" s="17" t="n">
        <v>250</v>
      </c>
      <c r="D9" s="17" t="n">
        <v>250</v>
      </c>
      <c r="E9" s="18" t="n">
        <f aca="false">IF(Cover!$C$9="Downside",D9,C9)</f>
        <v>250</v>
      </c>
    </row>
    <row r="10" customFormat="false" ht="15" hidden="false" customHeight="true" outlineLevel="0" collapsed="false">
      <c r="B10" s="1" t="s">
        <v>133</v>
      </c>
      <c r="C10" s="17" t="n">
        <v>50</v>
      </c>
      <c r="D10" s="17" t="n">
        <v>50</v>
      </c>
      <c r="E10" s="18" t="n">
        <f aca="false">IF(Cover!$C$9="Downside",D10,C10)</f>
        <v>50</v>
      </c>
    </row>
    <row r="11" customFormat="false" ht="15" hidden="false" customHeight="true" outlineLevel="0" collapsed="false">
      <c r="B11" s="1" t="s">
        <v>134</v>
      </c>
      <c r="C11" s="19" t="n">
        <v>0.045</v>
      </c>
      <c r="D11" s="19" t="n">
        <v>0.06</v>
      </c>
      <c r="E11" s="20" t="n">
        <f aca="false">IF(Cover!$C$9="Downside",D11,C11)</f>
        <v>0.06</v>
      </c>
    </row>
    <row r="12" customFormat="false" ht="15" hidden="false" customHeight="true" outlineLevel="0" collapsed="false">
      <c r="B12" s="1" t="s">
        <v>135</v>
      </c>
      <c r="C12" s="19" t="n">
        <v>0.025</v>
      </c>
      <c r="D12" s="19" t="n">
        <v>0.04</v>
      </c>
      <c r="E12" s="20" t="n">
        <f aca="false">IF(Cover!$C$9="Downside",D12,C12)</f>
        <v>0.04</v>
      </c>
    </row>
    <row r="13" customFormat="false" ht="15" hidden="false" customHeight="true" outlineLevel="0" collapsed="false">
      <c r="B13" s="1" t="s">
        <v>136</v>
      </c>
      <c r="C13" s="19" t="n">
        <v>0.04</v>
      </c>
      <c r="D13" s="19" t="n">
        <v>0.06</v>
      </c>
      <c r="E13" s="20" t="n">
        <f aca="false">IF(Cover!$C$9="Downside",D13,C13)</f>
        <v>0.06</v>
      </c>
    </row>
    <row r="14" customFormat="false" ht="15" hidden="false" customHeight="true" outlineLevel="0" collapsed="false">
      <c r="B14" s="1" t="s">
        <v>137</v>
      </c>
      <c r="C14" s="19" t="n">
        <v>0.055</v>
      </c>
      <c r="D14" s="19" t="n">
        <v>0.07</v>
      </c>
      <c r="E14" s="20" t="n">
        <f aca="false">IF(Cover!$C$9="Downside",D14,C14)</f>
        <v>0.07</v>
      </c>
    </row>
    <row r="15" customFormat="false" ht="15" hidden="false" customHeight="true" outlineLevel="0" collapsed="false">
      <c r="B15" s="1" t="s">
        <v>138</v>
      </c>
      <c r="C15" s="19" t="n">
        <v>0.045</v>
      </c>
      <c r="D15" s="19" t="n">
        <v>0.075</v>
      </c>
      <c r="E15" s="20" t="n">
        <f aca="false">IF(Cover!$C$9="Downside",D15,C15)</f>
        <v>0.075</v>
      </c>
    </row>
    <row r="16" customFormat="false" ht="15" hidden="false" customHeight="true" outlineLevel="0" collapsed="false">
      <c r="B16" s="1" t="s">
        <v>139</v>
      </c>
      <c r="C16" s="19" t="n">
        <v>0.02</v>
      </c>
      <c r="D16" s="19" t="n">
        <v>0.03</v>
      </c>
      <c r="E16" s="20" t="n">
        <f aca="false">IF(Cover!$C$9="Downside",D16,C16)</f>
        <v>0.03</v>
      </c>
    </row>
    <row r="17" customFormat="false" ht="15" hidden="false" customHeight="true" outlineLevel="0" collapsed="false">
      <c r="B17" s="1" t="s">
        <v>140</v>
      </c>
      <c r="C17" s="17" t="n">
        <v>25</v>
      </c>
      <c r="D17" s="17" t="n">
        <v>30</v>
      </c>
      <c r="E17" s="18" t="n">
        <f aca="false">IF(Cover!$C$9="Downside",D17,C17)</f>
        <v>30</v>
      </c>
    </row>
    <row r="18" customFormat="false" ht="15" hidden="false" customHeight="true" outlineLevel="0" collapsed="false">
      <c r="B18" s="1" t="s">
        <v>141</v>
      </c>
      <c r="C18" s="21" t="n">
        <v>5.5</v>
      </c>
      <c r="D18" s="21" t="n">
        <v>5</v>
      </c>
      <c r="E18" s="22" t="n">
        <f aca="false">IF(Cover!$C$9="Downside",D18,C18)</f>
        <v>5</v>
      </c>
    </row>
    <row r="19" customFormat="false" ht="15" hidden="false" customHeight="true" outlineLevel="0" collapsed="false">
      <c r="B19" s="1" t="s">
        <v>142</v>
      </c>
      <c r="C19" s="21" t="n">
        <v>2</v>
      </c>
      <c r="D19" s="21" t="n">
        <v>1.75</v>
      </c>
      <c r="E19" s="22" t="n">
        <f aca="false">IF(Cover!$C$9="Downside",D19,C19)</f>
        <v>1.75</v>
      </c>
    </row>
    <row r="20" customFormat="false" ht="15" hidden="false" customHeight="true" outlineLevel="0" collapsed="false">
      <c r="B20" s="1" t="s">
        <v>143</v>
      </c>
      <c r="C20" s="21" t="n">
        <v>5</v>
      </c>
      <c r="D20" s="21" t="n">
        <v>4</v>
      </c>
      <c r="E20" s="22" t="n">
        <f aca="false">IF(Cover!$C$9="Downside",D20,C20)</f>
        <v>4</v>
      </c>
    </row>
    <row r="21" customFormat="false" ht="15" hidden="false" customHeight="true" outlineLevel="0" collapsed="false">
      <c r="B21" s="1" t="s">
        <v>144</v>
      </c>
      <c r="C21" s="19" t="n">
        <v>0.2</v>
      </c>
      <c r="D21" s="19" t="n">
        <v>0.35</v>
      </c>
      <c r="E21" s="20" t="n">
        <f aca="false">IF(Cover!$C$9="Downside",D21,C21)</f>
        <v>0.35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8"/>
    <col collapsed="false" customWidth="true" hidden="false" outlineLevel="0" max="6" min="6" style="1" width="12"/>
    <col collapsed="false" customWidth="true" hidden="false" outlineLevel="0" max="7" min="7" style="1" width="14"/>
  </cols>
  <sheetData>
    <row r="2" customFormat="false" ht="27.75" hidden="false" customHeight="true" outlineLevel="0" collapsed="false">
      <c r="B2" s="2" t="s">
        <v>145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146</v>
      </c>
      <c r="C4" s="16" t="s">
        <v>147</v>
      </c>
      <c r="D4" s="16" t="s">
        <v>148</v>
      </c>
      <c r="E4" s="16" t="s">
        <v>149</v>
      </c>
      <c r="F4" s="16" t="s">
        <v>150</v>
      </c>
      <c r="G4" s="16" t="s">
        <v>151</v>
      </c>
    </row>
    <row r="5" customFormat="false" ht="15" hidden="false" customHeight="true" outlineLevel="0" collapsed="false">
      <c r="B5" s="1" t="s">
        <v>152</v>
      </c>
      <c r="C5" s="23" t="n">
        <f aca="false">Assumptions!E7</f>
        <v>75</v>
      </c>
      <c r="D5" s="24" t="n">
        <f aca="false">Assumptions!E12</f>
        <v>0.04</v>
      </c>
      <c r="E5" s="23" t="n">
        <f aca="false">C5*D5</f>
        <v>3</v>
      </c>
      <c r="F5" s="1" t="s">
        <v>153</v>
      </c>
      <c r="G5" s="1" t="s">
        <v>154</v>
      </c>
    </row>
    <row r="6" customFormat="false" ht="15" hidden="false" customHeight="true" outlineLevel="0" collapsed="false">
      <c r="B6" s="1" t="s">
        <v>131</v>
      </c>
      <c r="C6" s="23" t="n">
        <f aca="false">Assumptions!E8</f>
        <v>300</v>
      </c>
      <c r="D6" s="24" t="n">
        <f aca="false">Assumptions!E11+Assumptions!E13</f>
        <v>0.12</v>
      </c>
      <c r="E6" s="23" t="n">
        <f aca="false">C6*D6</f>
        <v>36</v>
      </c>
      <c r="F6" s="1" t="s">
        <v>155</v>
      </c>
      <c r="G6" s="1" t="s">
        <v>154</v>
      </c>
    </row>
    <row r="7" customFormat="false" ht="15" hidden="false" customHeight="true" outlineLevel="0" collapsed="false">
      <c r="B7" s="1" t="s">
        <v>132</v>
      </c>
      <c r="C7" s="23" t="n">
        <f aca="false">Assumptions!E9</f>
        <v>250</v>
      </c>
      <c r="D7" s="24" t="n">
        <f aca="false">Assumptions!E14</f>
        <v>0.07</v>
      </c>
      <c r="E7" s="23" t="n">
        <f aca="false">C7*D7</f>
        <v>17.5</v>
      </c>
      <c r="F7" s="1" t="s">
        <v>156</v>
      </c>
      <c r="G7" s="1" t="s">
        <v>157</v>
      </c>
    </row>
    <row r="8" customFormat="false" ht="15" hidden="false" customHeight="true" outlineLevel="0" collapsed="false">
      <c r="B8" s="1" t="s">
        <v>133</v>
      </c>
      <c r="C8" s="23" t="n">
        <f aca="false">Assumptions!E10</f>
        <v>50</v>
      </c>
      <c r="D8" s="24" t="n">
        <f aca="false">Assumptions!E14</f>
        <v>0.07</v>
      </c>
      <c r="E8" s="23" t="n">
        <f aca="false">C8*D8</f>
        <v>3.5</v>
      </c>
      <c r="F8" s="1" t="s">
        <v>158</v>
      </c>
      <c r="G8" s="1" t="s">
        <v>159</v>
      </c>
    </row>
    <row r="10" customFormat="false" ht="15" hidden="false" customHeight="true" outlineLevel="0" collapsed="false">
      <c r="B10" s="25" t="s">
        <v>160</v>
      </c>
      <c r="C10" s="26" t="n">
        <f aca="false">SUM(C5:C8)</f>
        <v>675</v>
      </c>
    </row>
    <row r="11" customFormat="false" ht="15" hidden="false" customHeight="true" outlineLevel="0" collapsed="false">
      <c r="B11" s="25" t="s">
        <v>161</v>
      </c>
      <c r="C11" s="26" t="n">
        <f aca="false">C10-Assumptions!E6</f>
        <v>650</v>
      </c>
    </row>
    <row r="12" customFormat="false" ht="15" hidden="false" customHeight="true" outlineLevel="0" collapsed="false">
      <c r="B12" s="25" t="s">
        <v>162</v>
      </c>
      <c r="C12" s="26" t="n">
        <f aca="false">SUM(E5:E8)</f>
        <v>60</v>
      </c>
    </row>
    <row r="13" customFormat="false" ht="15" hidden="false" customHeight="true" outlineLevel="0" collapsed="false">
      <c r="B13" s="25" t="s">
        <v>163</v>
      </c>
      <c r="C13" s="27" t="n">
        <f aca="false">IFERROR(C10/Assumptions!E5,0)</f>
        <v>7.10526315789474</v>
      </c>
    </row>
    <row r="14" customFormat="false" ht="15" hidden="false" customHeight="true" outlineLevel="0" collapsed="false">
      <c r="B14" s="25" t="s">
        <v>164</v>
      </c>
      <c r="C14" s="27" t="n">
        <f aca="false">IFERROR(C11/Assumptions!E5,0)</f>
        <v>6.8421052631579</v>
      </c>
    </row>
    <row r="15" customFormat="false" ht="15" hidden="false" customHeight="true" outlineLevel="0" collapsed="false">
      <c r="B15" s="25" t="s">
        <v>165</v>
      </c>
      <c r="C15" s="27" t="n">
        <f aca="false">IFERROR(Assumptions!E5/C12,0)</f>
        <v>1.58333333333333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8" min="3" style="1" width="13"/>
  </cols>
  <sheetData>
    <row r="2" customFormat="false" ht="27.75" hidden="false" customHeight="true" outlineLevel="0" collapsed="false">
      <c r="B2" s="2" t="s">
        <v>166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6" t="s">
        <v>146</v>
      </c>
      <c r="C4" s="16" t="s">
        <v>167</v>
      </c>
      <c r="D4" s="16" t="s">
        <v>168</v>
      </c>
      <c r="E4" s="16" t="s">
        <v>169</v>
      </c>
      <c r="F4" s="16" t="s">
        <v>170</v>
      </c>
      <c r="G4" s="16" t="s">
        <v>171</v>
      </c>
      <c r="H4" s="16" t="s">
        <v>172</v>
      </c>
    </row>
    <row r="5" customFormat="false" ht="15" hidden="false" customHeight="true" outlineLevel="0" collapsed="false">
      <c r="B5" s="1" t="s">
        <v>152</v>
      </c>
      <c r="C5" s="17" t="n">
        <v>0</v>
      </c>
      <c r="D5" s="17" t="n">
        <v>0</v>
      </c>
      <c r="E5" s="17" t="n">
        <v>25</v>
      </c>
      <c r="F5" s="17" t="n">
        <v>0</v>
      </c>
      <c r="G5" s="17" t="n">
        <v>0</v>
      </c>
      <c r="H5" s="17" t="n">
        <v>0</v>
      </c>
    </row>
    <row r="6" customFormat="false" ht="15" hidden="false" customHeight="true" outlineLevel="0" collapsed="false">
      <c r="B6" s="1" t="s">
        <v>131</v>
      </c>
      <c r="C6" s="17" t="n">
        <v>3</v>
      </c>
      <c r="D6" s="17" t="n">
        <v>3</v>
      </c>
      <c r="E6" s="17" t="n">
        <v>3</v>
      </c>
      <c r="F6" s="17" t="n">
        <v>3</v>
      </c>
      <c r="G6" s="17" t="n">
        <v>288</v>
      </c>
      <c r="H6" s="17" t="n">
        <v>0</v>
      </c>
    </row>
    <row r="7" customFormat="false" ht="15" hidden="false" customHeight="true" outlineLevel="0" collapsed="false">
      <c r="B7" s="1" t="s">
        <v>132</v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17" t="n">
        <v>250</v>
      </c>
    </row>
    <row r="8" customFormat="false" ht="15" hidden="false" customHeight="true" outlineLevel="0" collapsed="false">
      <c r="B8" s="1" t="s">
        <v>133</v>
      </c>
      <c r="C8" s="17" t="n">
        <v>10</v>
      </c>
      <c r="D8" s="17" t="n">
        <v>10</v>
      </c>
      <c r="E8" s="17" t="n">
        <v>10</v>
      </c>
      <c r="F8" s="17" t="n">
        <v>10</v>
      </c>
      <c r="G8" s="17" t="n">
        <v>10</v>
      </c>
      <c r="H8" s="17" t="n">
        <v>0</v>
      </c>
    </row>
    <row r="10" customFormat="false" ht="15" hidden="false" customHeight="true" outlineLevel="0" collapsed="false">
      <c r="B10" s="25" t="s">
        <v>173</v>
      </c>
      <c r="C10" s="26" t="n">
        <f aca="false">SUM(C5:C8)</f>
        <v>13</v>
      </c>
      <c r="D10" s="26" t="n">
        <f aca="false">SUM(D5:D8)</f>
        <v>13</v>
      </c>
      <c r="E10" s="26" t="n">
        <f aca="false">SUM(E5:E8)</f>
        <v>38</v>
      </c>
      <c r="F10" s="26" t="n">
        <f aca="false">SUM(F5:F8)</f>
        <v>13</v>
      </c>
      <c r="G10" s="26" t="n">
        <f aca="false">SUM(G5:G8)</f>
        <v>298</v>
      </c>
      <c r="H10" s="26" t="n">
        <f aca="false">SUM(H5:H8)</f>
        <v>250</v>
      </c>
    </row>
    <row r="12" customFormat="false" ht="15" hidden="false" customHeight="true" outlineLevel="0" collapsed="false">
      <c r="B12" s="1" t="s">
        <v>174</v>
      </c>
      <c r="C12" s="24" t="n">
        <f aca="false">IFERROR(SUM($C$10:C10)/'Capital Structure'!$C$10,0)</f>
        <v>0.0192592592592593</v>
      </c>
      <c r="D12" s="24" t="n">
        <f aca="false">IFERROR(SUM($C$10:D10)/'Capital Structure'!$C$10,0)</f>
        <v>0.0385185185185185</v>
      </c>
      <c r="E12" s="24" t="n">
        <f aca="false">IFERROR(SUM($C$10:E10)/'Capital Structure'!$C$10,0)</f>
        <v>0.0948148148148148</v>
      </c>
      <c r="F12" s="24" t="n">
        <f aca="false">IFERROR(SUM($C$10:F10)/'Capital Structure'!$C$10,0)</f>
        <v>0.114074074074074</v>
      </c>
      <c r="G12" s="24" t="n">
        <f aca="false">IFERROR(SUM($C$10:G10)/'Capital Structure'!$C$10,0)</f>
        <v>0.555555555555556</v>
      </c>
      <c r="H12" s="24" t="n">
        <f aca="false">IFERROR(SUM($C$10:H10)/'Capital Structure'!$C$10,0)</f>
        <v>0.925925925925926</v>
      </c>
    </row>
    <row r="15" customFormat="false" ht="15" hidden="false" customHeight="true" outlineLevel="0" collapsed="false">
      <c r="B15" s="1" t="s">
        <v>175</v>
      </c>
      <c r="C15" s="28" t="n">
        <f aca="false">SUM(C10:D10)</f>
        <v>26</v>
      </c>
    </row>
    <row r="16" customFormat="false" ht="15" hidden="false" customHeight="true" outlineLevel="0" collapsed="false">
      <c r="B16" s="1" t="s">
        <v>176</v>
      </c>
      <c r="C16" s="29" t="n">
        <v>150</v>
      </c>
    </row>
    <row r="17" customFormat="false" ht="15" hidden="false" customHeight="true" outlineLevel="0" collapsed="false">
      <c r="B17" s="1" t="s">
        <v>177</v>
      </c>
      <c r="C17" s="28" t="n">
        <f aca="false">MAX(0,C15-C16)</f>
        <v>0</v>
      </c>
    </row>
    <row r="18" customFormat="false" ht="15" hidden="false" customHeight="true" outlineLevel="0" collapsed="false">
      <c r="B18" s="1" t="s">
        <v>178</v>
      </c>
      <c r="C18" s="30" t="n">
        <f aca="false">IFERROR(MAX(C10:H10)/SUM(C10:H10),0)</f>
        <v>0.4768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26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14"/>
  </cols>
  <sheetData>
    <row r="2" customFormat="false" ht="27.75" hidden="false" customHeight="true" outlineLevel="0" collapsed="false">
      <c r="B2" s="2" t="s">
        <v>179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180</v>
      </c>
      <c r="C4" s="16" t="s">
        <v>181</v>
      </c>
      <c r="D4" s="16" t="s">
        <v>182</v>
      </c>
      <c r="E4" s="16" t="s">
        <v>181</v>
      </c>
      <c r="F4" s="16" t="s">
        <v>183</v>
      </c>
      <c r="G4" s="16" t="s">
        <v>44</v>
      </c>
    </row>
    <row r="5" customFormat="false" ht="15" hidden="false" customHeight="true" outlineLevel="0" collapsed="false">
      <c r="B5" s="1" t="s">
        <v>184</v>
      </c>
      <c r="C5" s="23" t="n">
        <f aca="false">'Capital Structure'!C10</f>
        <v>675</v>
      </c>
      <c r="D5" s="1" t="s">
        <v>185</v>
      </c>
      <c r="E5" s="23" t="n">
        <f aca="false">SUM(C5:C7)</f>
        <v>700.25</v>
      </c>
      <c r="F5" s="31" t="n">
        <f aca="false">Assumptions!E15+Assumptions!E16/7</f>
        <v>0.0792857142857143</v>
      </c>
    </row>
    <row r="6" customFormat="false" ht="15" hidden="false" customHeight="true" outlineLevel="0" collapsed="false">
      <c r="B6" s="1" t="s">
        <v>186</v>
      </c>
      <c r="C6" s="23" t="n">
        <f aca="false">MAX(0,Assumptions!E17-Assumptions!E6)</f>
        <v>5</v>
      </c>
      <c r="D6" s="1" t="s">
        <v>187</v>
      </c>
      <c r="E6" s="23" t="n">
        <f aca="false">MAX(0,Assumptions!E6-Assumptions!E17)</f>
        <v>0</v>
      </c>
    </row>
    <row r="7" customFormat="false" ht="15" hidden="false" customHeight="true" outlineLevel="0" collapsed="false">
      <c r="B7" s="1" t="s">
        <v>188</v>
      </c>
      <c r="C7" s="23" t="n">
        <f aca="false">C5*Assumptions!E16</f>
        <v>20.25</v>
      </c>
      <c r="D7" s="1" t="s">
        <v>189</v>
      </c>
      <c r="E7" s="23" t="n">
        <f aca="false">MAX(0,C8-E5-E6)</f>
        <v>0</v>
      </c>
    </row>
    <row r="8" customFormat="false" ht="15" hidden="false" customHeight="true" outlineLevel="0" collapsed="false">
      <c r="B8" s="1" t="s">
        <v>190</v>
      </c>
      <c r="C8" s="23" t="n">
        <f aca="false">SUM(C5:C7)</f>
        <v>700.25</v>
      </c>
      <c r="D8" s="1" t="s">
        <v>191</v>
      </c>
      <c r="E8" s="23" t="n">
        <f aca="false">SUM(E5:E7)</f>
        <v>700.25</v>
      </c>
      <c r="G8" s="1" t="str">
        <f aca="false">IF(ABS(C8-E8)&lt;0.01,"PASS","FAIL")</f>
        <v>PASS</v>
      </c>
    </row>
    <row r="10" customFormat="false" ht="15" hidden="false" customHeight="true" outlineLevel="0" collapsed="false">
      <c r="B10" s="1" t="s">
        <v>192</v>
      </c>
      <c r="C10" s="32" t="n">
        <f aca="false">IFERROR(E5/Assumptions!E5,0)</f>
        <v>7.37105263157895</v>
      </c>
    </row>
    <row r="11" customFormat="false" ht="15" hidden="false" customHeight="true" outlineLevel="0" collapsed="false">
      <c r="B11" s="1" t="s">
        <v>193</v>
      </c>
      <c r="C11" s="23" t="n">
        <f aca="false">E5*F5</f>
        <v>55.5198214285714</v>
      </c>
    </row>
    <row r="12" customFormat="false" ht="15" hidden="false" customHeight="true" outlineLevel="0" collapsed="false">
      <c r="B12" s="1" t="s">
        <v>194</v>
      </c>
      <c r="C12" s="32" t="n">
        <f aca="false">IFERROR(Assumptions!E5/C11,0)</f>
        <v>1.71110060435301</v>
      </c>
    </row>
  </sheetData>
  <mergeCells count="1">
    <mergeCell ref="B2:G2"/>
  </mergeCells>
  <conditionalFormatting sqref="G8">
    <cfRule type="expression" priority="2" aboveAverage="0" equalAverage="0" bottom="0" percent="0" rank="0" text="" dxfId="0">
      <formula>G8="PASS"</formula>
    </cfRule>
    <cfRule type="expression" priority="3" aboveAverage="0" equalAverage="0" bottom="0" percent="0" rank="0" text="" dxfId="1">
      <formula>G8="FAIL"</formula>
    </cfRule>
    <cfRule type="expression" priority="4" aboveAverage="0" equalAverage="0" bottom="0" percent="0" rank="0" text="" dxfId="2">
      <formula>G8="REVIEW"</formula>
    </cfRule>
    <cfRule type="expression" priority="5" aboveAverage="0" equalAverage="0" bottom="0" percent="0" rank="0" text="" dxfId="1">
      <formula>G8="BREACH"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7" min="3" style="1" width="14"/>
  </cols>
  <sheetData>
    <row r="2" customFormat="false" ht="27.75" hidden="false" customHeight="true" outlineLevel="0" collapsed="false">
      <c r="B2" s="2" t="s">
        <v>195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196</v>
      </c>
      <c r="C4" s="33" t="n">
        <v>-100</v>
      </c>
      <c r="D4" s="33" t="n">
        <v>0</v>
      </c>
      <c r="E4" s="33" t="n">
        <v>100</v>
      </c>
      <c r="F4" s="33" t="n">
        <v>200</v>
      </c>
      <c r="G4" s="33" t="n">
        <v>300</v>
      </c>
    </row>
    <row r="5" customFormat="false" ht="15" hidden="false" customHeight="true" outlineLevel="0" collapsed="false">
      <c r="B5" s="34" t="n">
        <v>-100</v>
      </c>
      <c r="C5" s="23" t="n">
        <f aca="false">'Capital Structure'!$C$5*MAX(0,Assumptions!$E$11+Assumptions!$E$12+($B5+C$4)/10000)+'Capital Structure'!$C$6*MAX(0,Assumptions!$E$11+Assumptions!$E$13+($B5+C$4)/10000)+'Capital Structure'!$E$7+'Capital Structure'!$E$8</f>
        <v>57</v>
      </c>
      <c r="D5" s="23" t="n">
        <f aca="false">'Capital Structure'!$C$5*MAX(0,Assumptions!$E$11+Assumptions!$E$12+($B5+D$4)/10000)+'Capital Structure'!$C$6*MAX(0,Assumptions!$E$11+Assumptions!$E$13+($B5+D$4)/10000)+'Capital Structure'!$E$7+'Capital Structure'!$E$8</f>
        <v>60.75</v>
      </c>
      <c r="E5" s="23" t="n">
        <f aca="false">'Capital Structure'!$C$5*MAX(0,Assumptions!$E$11+Assumptions!$E$12+($B5+E$4)/10000)+'Capital Structure'!$C$6*MAX(0,Assumptions!$E$11+Assumptions!$E$13+($B5+E$4)/10000)+'Capital Structure'!$E$7+'Capital Structure'!$E$8</f>
        <v>64.5</v>
      </c>
      <c r="F5" s="23" t="n">
        <f aca="false">'Capital Structure'!$C$5*MAX(0,Assumptions!$E$11+Assumptions!$E$12+($B5+F$4)/10000)+'Capital Structure'!$C$6*MAX(0,Assumptions!$E$11+Assumptions!$E$13+($B5+F$4)/10000)+'Capital Structure'!$E$7+'Capital Structure'!$E$8</f>
        <v>68.25</v>
      </c>
      <c r="G5" s="23" t="n">
        <f aca="false">'Capital Structure'!$C$5*MAX(0,Assumptions!$E$11+Assumptions!$E$12+($B5+G$4)/10000)+'Capital Structure'!$C$6*MAX(0,Assumptions!$E$11+Assumptions!$E$13+($B5+G$4)/10000)+'Capital Structure'!$E$7+'Capital Structure'!$E$8</f>
        <v>72</v>
      </c>
    </row>
    <row r="6" customFormat="false" ht="15" hidden="false" customHeight="true" outlineLevel="0" collapsed="false">
      <c r="B6" s="34" t="n">
        <v>0</v>
      </c>
      <c r="C6" s="23" t="n">
        <f aca="false">'Capital Structure'!$C$5*MAX(0,Assumptions!$E$11+Assumptions!$E$12+($B6+C$4)/10000)+'Capital Structure'!$C$6*MAX(0,Assumptions!$E$11+Assumptions!$E$13+($B6+C$4)/10000)+'Capital Structure'!$E$7+'Capital Structure'!$E$8</f>
        <v>60.75</v>
      </c>
      <c r="D6" s="23" t="n">
        <f aca="false">'Capital Structure'!$C$5*MAX(0,Assumptions!$E$11+Assumptions!$E$12+($B6+D$4)/10000)+'Capital Structure'!$C$6*MAX(0,Assumptions!$E$11+Assumptions!$E$13+($B6+D$4)/10000)+'Capital Structure'!$E$7+'Capital Structure'!$E$8</f>
        <v>64.5</v>
      </c>
      <c r="E6" s="23" t="n">
        <f aca="false">'Capital Structure'!$C$5*MAX(0,Assumptions!$E$11+Assumptions!$E$12+($B6+E$4)/10000)+'Capital Structure'!$C$6*MAX(0,Assumptions!$E$11+Assumptions!$E$13+($B6+E$4)/10000)+'Capital Structure'!$E$7+'Capital Structure'!$E$8</f>
        <v>68.25</v>
      </c>
      <c r="F6" s="23" t="n">
        <f aca="false">'Capital Structure'!$C$5*MAX(0,Assumptions!$E$11+Assumptions!$E$12+($B6+F$4)/10000)+'Capital Structure'!$C$6*MAX(0,Assumptions!$E$11+Assumptions!$E$13+($B6+F$4)/10000)+'Capital Structure'!$E$7+'Capital Structure'!$E$8</f>
        <v>72</v>
      </c>
      <c r="G6" s="23" t="n">
        <f aca="false">'Capital Structure'!$C$5*MAX(0,Assumptions!$E$11+Assumptions!$E$12+($B6+G$4)/10000)+'Capital Structure'!$C$6*MAX(0,Assumptions!$E$11+Assumptions!$E$13+($B6+G$4)/10000)+'Capital Structure'!$E$7+'Capital Structure'!$E$8</f>
        <v>75.75</v>
      </c>
    </row>
    <row r="7" customFormat="false" ht="15" hidden="false" customHeight="true" outlineLevel="0" collapsed="false">
      <c r="B7" s="34" t="n">
        <v>100</v>
      </c>
      <c r="C7" s="23" t="n">
        <f aca="false">'Capital Structure'!$C$5*MAX(0,Assumptions!$E$11+Assumptions!$E$12+($B7+C$4)/10000)+'Capital Structure'!$C$6*MAX(0,Assumptions!$E$11+Assumptions!$E$13+($B7+C$4)/10000)+'Capital Structure'!$E$7+'Capital Structure'!$E$8</f>
        <v>64.5</v>
      </c>
      <c r="D7" s="23" t="n">
        <f aca="false">'Capital Structure'!$C$5*MAX(0,Assumptions!$E$11+Assumptions!$E$12+($B7+D$4)/10000)+'Capital Structure'!$C$6*MAX(0,Assumptions!$E$11+Assumptions!$E$13+($B7+D$4)/10000)+'Capital Structure'!$E$7+'Capital Structure'!$E$8</f>
        <v>68.25</v>
      </c>
      <c r="E7" s="23" t="n">
        <f aca="false">'Capital Structure'!$C$5*MAX(0,Assumptions!$E$11+Assumptions!$E$12+($B7+E$4)/10000)+'Capital Structure'!$C$6*MAX(0,Assumptions!$E$11+Assumptions!$E$13+($B7+E$4)/10000)+'Capital Structure'!$E$7+'Capital Structure'!$E$8</f>
        <v>72</v>
      </c>
      <c r="F7" s="23" t="n">
        <f aca="false">'Capital Structure'!$C$5*MAX(0,Assumptions!$E$11+Assumptions!$E$12+($B7+F$4)/10000)+'Capital Structure'!$C$6*MAX(0,Assumptions!$E$11+Assumptions!$E$13+($B7+F$4)/10000)+'Capital Structure'!$E$7+'Capital Structure'!$E$8</f>
        <v>75.75</v>
      </c>
      <c r="G7" s="23" t="n">
        <f aca="false">'Capital Structure'!$C$5*MAX(0,Assumptions!$E$11+Assumptions!$E$12+($B7+G$4)/10000)+'Capital Structure'!$C$6*MAX(0,Assumptions!$E$11+Assumptions!$E$13+($B7+G$4)/10000)+'Capital Structure'!$E$7+'Capital Structure'!$E$8</f>
        <v>79.5</v>
      </c>
    </row>
    <row r="8" customFormat="false" ht="15" hidden="false" customHeight="true" outlineLevel="0" collapsed="false">
      <c r="B8" s="34" t="n">
        <v>200</v>
      </c>
      <c r="C8" s="23" t="n">
        <f aca="false">'Capital Structure'!$C$5*MAX(0,Assumptions!$E$11+Assumptions!$E$12+($B8+C$4)/10000)+'Capital Structure'!$C$6*MAX(0,Assumptions!$E$11+Assumptions!$E$13+($B8+C$4)/10000)+'Capital Structure'!$E$7+'Capital Structure'!$E$8</f>
        <v>68.25</v>
      </c>
      <c r="D8" s="23" t="n">
        <f aca="false">'Capital Structure'!$C$5*MAX(0,Assumptions!$E$11+Assumptions!$E$12+($B8+D$4)/10000)+'Capital Structure'!$C$6*MAX(0,Assumptions!$E$11+Assumptions!$E$13+($B8+D$4)/10000)+'Capital Structure'!$E$7+'Capital Structure'!$E$8</f>
        <v>72</v>
      </c>
      <c r="E8" s="23" t="n">
        <f aca="false">'Capital Structure'!$C$5*MAX(0,Assumptions!$E$11+Assumptions!$E$12+($B8+E$4)/10000)+'Capital Structure'!$C$6*MAX(0,Assumptions!$E$11+Assumptions!$E$13+($B8+E$4)/10000)+'Capital Structure'!$E$7+'Capital Structure'!$E$8</f>
        <v>75.75</v>
      </c>
      <c r="F8" s="23" t="n">
        <f aca="false">'Capital Structure'!$C$5*MAX(0,Assumptions!$E$11+Assumptions!$E$12+($B8+F$4)/10000)+'Capital Structure'!$C$6*MAX(0,Assumptions!$E$11+Assumptions!$E$13+($B8+F$4)/10000)+'Capital Structure'!$E$7+'Capital Structure'!$E$8</f>
        <v>79.5</v>
      </c>
      <c r="G8" s="23" t="n">
        <f aca="false">'Capital Structure'!$C$5*MAX(0,Assumptions!$E$11+Assumptions!$E$12+($B8+G$4)/10000)+'Capital Structure'!$C$6*MAX(0,Assumptions!$E$11+Assumptions!$E$13+($B8+G$4)/10000)+'Capital Structure'!$E$7+'Capital Structure'!$E$8</f>
        <v>83.25</v>
      </c>
    </row>
    <row r="9" customFormat="false" ht="15" hidden="false" customHeight="true" outlineLevel="0" collapsed="false">
      <c r="B9" s="34" t="n">
        <v>300</v>
      </c>
      <c r="C9" s="23" t="n">
        <f aca="false">'Capital Structure'!$C$5*MAX(0,Assumptions!$E$11+Assumptions!$E$12+($B9+C$4)/10000)+'Capital Structure'!$C$6*MAX(0,Assumptions!$E$11+Assumptions!$E$13+($B9+C$4)/10000)+'Capital Structure'!$E$7+'Capital Structure'!$E$8</f>
        <v>72</v>
      </c>
      <c r="D9" s="23" t="n">
        <f aca="false">'Capital Structure'!$C$5*MAX(0,Assumptions!$E$11+Assumptions!$E$12+($B9+D$4)/10000)+'Capital Structure'!$C$6*MAX(0,Assumptions!$E$11+Assumptions!$E$13+($B9+D$4)/10000)+'Capital Structure'!$E$7+'Capital Structure'!$E$8</f>
        <v>75.75</v>
      </c>
      <c r="E9" s="23" t="n">
        <f aca="false">'Capital Structure'!$C$5*MAX(0,Assumptions!$E$11+Assumptions!$E$12+($B9+E$4)/10000)+'Capital Structure'!$C$6*MAX(0,Assumptions!$E$11+Assumptions!$E$13+($B9+E$4)/10000)+'Capital Structure'!$E$7+'Capital Structure'!$E$8</f>
        <v>79.5</v>
      </c>
      <c r="F9" s="23" t="n">
        <f aca="false">'Capital Structure'!$C$5*MAX(0,Assumptions!$E$11+Assumptions!$E$12+($B9+F$4)/10000)+'Capital Structure'!$C$6*MAX(0,Assumptions!$E$11+Assumptions!$E$13+($B9+F$4)/10000)+'Capital Structure'!$E$7+'Capital Structure'!$E$8</f>
        <v>83.25</v>
      </c>
      <c r="G9" s="23" t="n">
        <f aca="false">'Capital Structure'!$C$5*MAX(0,Assumptions!$E$11+Assumptions!$E$12+($B9+G$4)/10000)+'Capital Structure'!$C$6*MAX(0,Assumptions!$E$11+Assumptions!$E$13+($B9+G$4)/10000)+'Capital Structure'!$E$7+'Capital Structure'!$E$8</f>
        <v>87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E2F0D9"/>
        <color rgb="FFFFF2CC"/>
        <color rgb="FFFCE4D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4" min="3" style="1" width="18"/>
    <col collapsed="false" customWidth="true" hidden="false" outlineLevel="0" max="5" min="5" style="1" width="22"/>
  </cols>
  <sheetData>
    <row r="2" customFormat="false" ht="27.75" hidden="false" customHeight="true" outlineLevel="0" collapsed="false">
      <c r="B2" s="2" t="s">
        <v>197</v>
      </c>
      <c r="C2" s="2"/>
      <c r="D2" s="2"/>
      <c r="E2" s="2"/>
    </row>
    <row r="4" customFormat="false" ht="15" hidden="false" customHeight="true" outlineLevel="0" collapsed="false">
      <c r="B4" s="16" t="s">
        <v>198</v>
      </c>
      <c r="C4" s="16" t="s">
        <v>199</v>
      </c>
      <c r="D4" s="16" t="s">
        <v>200</v>
      </c>
      <c r="E4" s="16" t="s">
        <v>201</v>
      </c>
    </row>
    <row r="5" customFormat="false" ht="15" hidden="false" customHeight="true" outlineLevel="0" collapsed="false">
      <c r="B5" s="1" t="s">
        <v>163</v>
      </c>
      <c r="C5" s="32" t="n">
        <f aca="false">'Capital Structure'!C13</f>
        <v>7.10526315789474</v>
      </c>
      <c r="D5" s="32" t="n">
        <f aca="false">Assumptions!E18</f>
        <v>5</v>
      </c>
      <c r="E5" s="32" t="n">
        <f aca="false">D5-C5</f>
        <v>-2.10526315789474</v>
      </c>
    </row>
    <row r="6" customFormat="false" ht="15" hidden="false" customHeight="true" outlineLevel="0" collapsed="false">
      <c r="B6" s="1" t="s">
        <v>165</v>
      </c>
      <c r="C6" s="32" t="n">
        <f aca="false">'Capital Structure'!C15</f>
        <v>1.58333333333333</v>
      </c>
      <c r="D6" s="32" t="n">
        <f aca="false">Assumptions!E19</f>
        <v>1.75</v>
      </c>
      <c r="E6" s="32" t="n">
        <f aca="false">C6-D6</f>
        <v>-0.166666666666667</v>
      </c>
    </row>
    <row r="7" customFormat="false" ht="15" hidden="false" customHeight="true" outlineLevel="0" collapsed="false">
      <c r="B7" s="1" t="s">
        <v>202</v>
      </c>
      <c r="C7" s="24" t="n">
        <f aca="false">IFERROR(SUM('Maturity Ladder'!C10:E10)/'Capital Structure'!C10,0)</f>
        <v>0.0948148148148148</v>
      </c>
      <c r="D7" s="24" t="n">
        <v>0.35</v>
      </c>
      <c r="E7" s="24" t="n">
        <f aca="false">D7-C7</f>
        <v>0.255185185185185</v>
      </c>
    </row>
    <row r="8" customFormat="false" ht="15" hidden="false" customHeight="true" outlineLevel="0" collapsed="false">
      <c r="B8" s="1" t="s">
        <v>203</v>
      </c>
      <c r="C8" s="1" t="str">
        <f aca="false">Refinancing!G8</f>
        <v>PASS</v>
      </c>
      <c r="D8" s="1" t="s">
        <v>204</v>
      </c>
      <c r="E8" s="1" t="str">
        <f aca="false">IF(C8=D8,"PASS","FAIL")</f>
        <v>PASS</v>
      </c>
    </row>
  </sheetData>
  <mergeCells count="1">
    <mergeCell ref="B2:E2"/>
  </mergeCells>
  <conditionalFormatting sqref="E8">
    <cfRule type="expression" priority="2" aboveAverage="0" equalAverage="0" bottom="0" percent="0" rank="0" text="" dxfId="0">
      <formula>E8="PASS"</formula>
    </cfRule>
    <cfRule type="expression" priority="3" aboveAverage="0" equalAverage="0" bottom="0" percent="0" rank="0" text="" dxfId="1">
      <formula>E8="FAIL"</formula>
    </cfRule>
    <cfRule type="expression" priority="4" aboveAverage="0" equalAverage="0" bottom="0" percent="0" rank="0" text="" dxfId="2">
      <formula>E8="REVIEW"</formula>
    </cfRule>
    <cfRule type="expression" priority="5" aboveAverage="0" equalAverage="0" bottom="0" percent="0" rank="0" text="" dxfId="1">
      <formula>E8="BREACH"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4" min="3" style="1" width="18"/>
    <col collapsed="false" customWidth="true" hidden="false" outlineLevel="0" max="5" min="5" style="1" width="42"/>
  </cols>
  <sheetData>
    <row r="2" customFormat="false" ht="27.75" hidden="false" customHeight="true" outlineLevel="0" collapsed="false">
      <c r="B2" s="2" t="s">
        <v>205</v>
      </c>
      <c r="C2" s="2"/>
      <c r="D2" s="2"/>
      <c r="E2" s="2"/>
    </row>
    <row r="4" customFormat="false" ht="15" hidden="false" customHeight="true" outlineLevel="0" collapsed="false">
      <c r="B4" s="16" t="s">
        <v>198</v>
      </c>
      <c r="C4" s="16" t="s">
        <v>125</v>
      </c>
      <c r="D4" s="16" t="s">
        <v>12</v>
      </c>
      <c r="E4" s="16" t="s">
        <v>127</v>
      </c>
    </row>
    <row r="5" customFormat="false" ht="15" hidden="false" customHeight="true" outlineLevel="0" collapsed="false">
      <c r="B5" s="1" t="s">
        <v>206</v>
      </c>
      <c r="C5" s="23" t="n">
        <f aca="false">Assumptions!C5</f>
        <v>120</v>
      </c>
      <c r="D5" s="23" t="n">
        <f aca="false">Assumptions!D5</f>
        <v>95</v>
      </c>
    </row>
    <row r="6" customFormat="false" ht="15" hidden="false" customHeight="true" outlineLevel="0" collapsed="false">
      <c r="B6" s="1" t="s">
        <v>143</v>
      </c>
      <c r="C6" s="32" t="n">
        <f aca="false">Assumptions!C20</f>
        <v>5</v>
      </c>
      <c r="D6" s="32" t="n">
        <f aca="false">Assumptions!D20</f>
        <v>4</v>
      </c>
    </row>
    <row r="7" customFormat="false" ht="15" hidden="false" customHeight="true" outlineLevel="0" collapsed="false">
      <c r="B7" s="1" t="s">
        <v>207</v>
      </c>
      <c r="C7" s="23" t="n">
        <f aca="false">C5*C6</f>
        <v>600</v>
      </c>
      <c r="D7" s="23" t="n">
        <f aca="false">D5*D6</f>
        <v>380</v>
      </c>
    </row>
    <row r="8" customFormat="false" ht="15" hidden="false" customHeight="true" outlineLevel="0" collapsed="false">
      <c r="B8" s="1" t="s">
        <v>144</v>
      </c>
      <c r="C8" s="23" t="n">
        <f aca="false">C7*Assumptions!C21</f>
        <v>120</v>
      </c>
      <c r="D8" s="23" t="n">
        <f aca="false">D7*Assumptions!D21</f>
        <v>133</v>
      </c>
    </row>
    <row r="9" customFormat="false" ht="15" hidden="false" customHeight="true" outlineLevel="0" collapsed="false">
      <c r="B9" s="1" t="s">
        <v>208</v>
      </c>
      <c r="C9" s="23" t="n">
        <f aca="false">C7-C8</f>
        <v>480</v>
      </c>
      <c r="D9" s="23" t="n">
        <f aca="false">D7-D8</f>
        <v>247</v>
      </c>
    </row>
    <row r="10" customFormat="false" ht="15" hidden="false" customHeight="true" outlineLevel="0" collapsed="false">
      <c r="B10" s="1" t="s">
        <v>160</v>
      </c>
      <c r="C10" s="23" t="n">
        <f aca="false">'Capital Structure'!C10</f>
        <v>675</v>
      </c>
      <c r="D10" s="23" t="n">
        <f aca="false">'Capital Structure'!C10</f>
        <v>675</v>
      </c>
    </row>
    <row r="11" customFormat="false" ht="15" hidden="false" customHeight="true" outlineLevel="0" collapsed="false">
      <c r="B11" s="1" t="s">
        <v>209</v>
      </c>
      <c r="C11" s="23" t="n">
        <f aca="false">MIN(C9,C10)</f>
        <v>480</v>
      </c>
      <c r="D11" s="23" t="n">
        <f aca="false">MIN(D9,D10)</f>
        <v>247</v>
      </c>
    </row>
    <row r="12" customFormat="false" ht="15" hidden="false" customHeight="true" outlineLevel="0" collapsed="false">
      <c r="B12" s="1" t="s">
        <v>210</v>
      </c>
      <c r="C12" s="24" t="n">
        <f aca="false">IFERROR(C11/C10,0)</f>
        <v>0.711111111111111</v>
      </c>
      <c r="D12" s="24" t="n">
        <f aca="false">IFERROR(D11/D10,0)</f>
        <v>0.365925925925926</v>
      </c>
    </row>
    <row r="13" customFormat="false" ht="15" hidden="false" customHeight="true" outlineLevel="0" collapsed="false">
      <c r="B13" s="1" t="s">
        <v>211</v>
      </c>
      <c r="C13" s="24" t="n">
        <f aca="false">1-C12</f>
        <v>0.288888888888889</v>
      </c>
      <c r="D13" s="24" t="n">
        <f aca="false">1-D12</f>
        <v>0.634074074074074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212</v>
      </c>
      <c r="C2" s="2"/>
    </row>
    <row r="4" customFormat="false" ht="15" hidden="false" customHeight="true" outlineLevel="0" collapsed="false">
      <c r="B4" s="16" t="s">
        <v>213</v>
      </c>
      <c r="C4" s="16" t="s">
        <v>44</v>
      </c>
    </row>
    <row r="5" customFormat="false" ht="15" hidden="false" customHeight="true" outlineLevel="0" collapsed="false">
      <c r="B5" s="1" t="s">
        <v>214</v>
      </c>
      <c r="C5" s="1" t="str">
        <f aca="false">IF(Refinancing!G8="PASS","PASS","FAIL")</f>
        <v>PASS</v>
      </c>
    </row>
    <row r="6" customFormat="false" ht="15" hidden="false" customHeight="true" outlineLevel="0" collapsed="false">
      <c r="B6" s="1" t="s">
        <v>215</v>
      </c>
      <c r="C6" s="1" t="str">
        <f aca="false">IF('Capital Structure'!C10&gt;=0,"PASS","FAIL")</f>
        <v>PASS</v>
      </c>
    </row>
    <row r="7" customFormat="false" ht="15" hidden="false" customHeight="true" outlineLevel="0" collapsed="false">
      <c r="B7" s="1" t="s">
        <v>216</v>
      </c>
      <c r="C7" s="1" t="str">
        <f aca="false">IF(ABS(SUM('Maturity Ladder'!C10:H10)-'Capital Structure'!C10)&lt;0.01,"PASS","REVIEW")</f>
        <v>REVIEW</v>
      </c>
    </row>
    <row r="8" customFormat="false" ht="15" hidden="false" customHeight="true" outlineLevel="0" collapsed="false">
      <c r="B8" s="1" t="s">
        <v>217</v>
      </c>
      <c r="C8" s="1" t="str">
        <f aca="false">IF(AND(MIN(Recovery!C12:D12)&gt;=0,MAX(Recovery!C12:D12)&lt;=1),"PASS","FAIL")</f>
        <v>PASS</v>
      </c>
    </row>
    <row r="9" customFormat="false" ht="15" hidden="false" customHeight="true" outlineLevel="0" collapsed="false">
      <c r="B9" s="1" t="s">
        <v>218</v>
      </c>
      <c r="C9" s="1" t="str">
        <f aca="false">IF(COUNTIF(C5:C8,"FAIL")+COUNTIF(C5:C8,"REVIEW")=0,"PASS","REVIEW")</f>
        <v>REVIEW</v>
      </c>
    </row>
  </sheetData>
  <mergeCells count="1">
    <mergeCell ref="B2:C2"/>
  </mergeCells>
  <conditionalFormatting sqref="C5:C9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219</v>
      </c>
      <c r="C2" s="2"/>
      <c r="D2" s="2"/>
      <c r="E2" s="2"/>
    </row>
    <row r="4" customFormat="false" ht="15" hidden="false" customHeight="true" outlineLevel="0" collapsed="false">
      <c r="B4" s="16" t="s">
        <v>220</v>
      </c>
      <c r="C4" s="16" t="s">
        <v>221</v>
      </c>
      <c r="D4" s="16" t="s">
        <v>107</v>
      </c>
      <c r="E4" s="16" t="s">
        <v>222</v>
      </c>
    </row>
    <row r="5" customFormat="false" ht="15" hidden="false" customHeight="true" outlineLevel="0" collapsed="false">
      <c r="B5" s="35" t="s">
        <v>223</v>
      </c>
      <c r="C5" s="35" t="s">
        <v>224</v>
      </c>
      <c r="D5" s="35" t="s">
        <v>8</v>
      </c>
      <c r="E5" s="35" t="s">
        <v>225</v>
      </c>
    </row>
    <row r="6" customFormat="false" ht="15" hidden="false" customHeight="true" outlineLevel="0" collapsed="false">
      <c r="B6" s="35" t="s">
        <v>226</v>
      </c>
      <c r="C6" s="35" t="s">
        <v>227</v>
      </c>
      <c r="D6" s="35" t="s">
        <v>8</v>
      </c>
      <c r="E6" s="35" t="s">
        <v>228</v>
      </c>
    </row>
    <row r="7" customFormat="false" ht="15" hidden="false" customHeight="true" outlineLevel="0" collapsed="false">
      <c r="B7" s="35" t="s">
        <v>229</v>
      </c>
      <c r="C7" s="35" t="s">
        <v>230</v>
      </c>
      <c r="D7" s="35" t="s">
        <v>231</v>
      </c>
      <c r="E7" s="35" t="s">
        <v>232</v>
      </c>
    </row>
    <row r="8" customFormat="false" ht="15" hidden="false" customHeight="true" outlineLevel="0" collapsed="false">
      <c r="B8" s="35" t="s">
        <v>233</v>
      </c>
      <c r="C8" s="35" t="s">
        <v>234</v>
      </c>
      <c r="D8" s="35" t="s">
        <v>8</v>
      </c>
      <c r="E8" s="35" t="s">
        <v>235</v>
      </c>
    </row>
    <row r="9" customFormat="false" ht="15" hidden="false" customHeight="false" outlineLevel="0" collapsed="false">
      <c r="B9" s="36" t="s">
        <v>236</v>
      </c>
      <c r="C9" s="36" t="s">
        <v>237</v>
      </c>
      <c r="D9" s="36" t="s">
        <v>6</v>
      </c>
      <c r="E9" s="36" t="s">
        <v>238</v>
      </c>
    </row>
    <row r="10" customFormat="false" ht="15" hidden="false" customHeight="false" outlineLevel="0" collapsed="false">
      <c r="B10" s="36" t="s">
        <v>239</v>
      </c>
      <c r="C10" s="36" t="s">
        <v>240</v>
      </c>
      <c r="D10" s="36" t="s">
        <v>6</v>
      </c>
      <c r="E10" s="36" t="s">
        <v>241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242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95</v>
      </c>
      <c r="C4" s="16" t="s">
        <v>243</v>
      </c>
      <c r="D4" s="16" t="s">
        <v>244</v>
      </c>
      <c r="E4" s="16" t="s">
        <v>245</v>
      </c>
      <c r="F4" s="16" t="s">
        <v>246</v>
      </c>
      <c r="G4" s="16" t="s">
        <v>247</v>
      </c>
    </row>
    <row r="5" customFormat="false" ht="15" hidden="false" customHeight="true" outlineLevel="0" collapsed="false">
      <c r="B5" s="37" t="s">
        <v>248</v>
      </c>
      <c r="C5" s="37" t="s">
        <v>249</v>
      </c>
      <c r="D5" s="37" t="s">
        <v>240</v>
      </c>
      <c r="E5" s="37" t="s">
        <v>250</v>
      </c>
      <c r="F5" s="37" t="s">
        <v>251</v>
      </c>
      <c r="G5" s="37" t="s">
        <v>252</v>
      </c>
    </row>
    <row r="6" customFormat="false" ht="15" hidden="false" customHeight="true" outlineLevel="0" collapsed="false">
      <c r="B6" s="37"/>
      <c r="C6" s="37"/>
      <c r="D6" s="37"/>
      <c r="E6" s="37"/>
      <c r="F6" s="37"/>
      <c r="G6" s="37"/>
    </row>
    <row r="7" customFormat="false" ht="15" hidden="false" customHeight="true" outlineLevel="0" collapsed="false">
      <c r="B7" s="37"/>
      <c r="C7" s="37"/>
      <c r="D7" s="37"/>
      <c r="E7" s="37"/>
      <c r="F7" s="37"/>
      <c r="G7" s="37"/>
    </row>
    <row r="8" customFormat="false" ht="15" hidden="false" customHeight="true" outlineLevel="0" collapsed="false">
      <c r="B8" s="37"/>
      <c r="C8" s="37"/>
      <c r="D8" s="37"/>
      <c r="E8" s="37"/>
      <c r="F8" s="37"/>
      <c r="G8" s="37"/>
    </row>
    <row r="9" customFormat="false" ht="15" hidden="false" customHeight="true" outlineLevel="0" collapsed="false">
      <c r="B9" s="37"/>
      <c r="C9" s="37"/>
      <c r="D9" s="37"/>
      <c r="E9" s="37"/>
      <c r="F9" s="37"/>
      <c r="G9" s="37"/>
    </row>
    <row r="10" customFormat="false" ht="15" hidden="false" customHeight="true" outlineLevel="0" collapsed="false">
      <c r="B10" s="37"/>
      <c r="C10" s="37"/>
      <c r="D10" s="37"/>
      <c r="E10" s="37"/>
      <c r="F10" s="37"/>
      <c r="G10" s="37"/>
    </row>
    <row r="11" customFormat="false" ht="15" hidden="false" customHeight="true" outlineLevel="0" collapsed="false">
      <c r="B11" s="37"/>
      <c r="C11" s="37"/>
      <c r="D11" s="37"/>
      <c r="E11" s="37"/>
      <c r="F11" s="37"/>
      <c r="G11" s="37"/>
    </row>
    <row r="12" customFormat="false" ht="15" hidden="false" customHeight="true" outlineLevel="0" collapsed="false">
      <c r="B12" s="37"/>
      <c r="C12" s="37"/>
      <c r="D12" s="37"/>
      <c r="E12" s="37"/>
      <c r="F12" s="37"/>
      <c r="G12" s="37"/>
    </row>
    <row r="13" customFormat="false" ht="15" hidden="false" customHeight="true" outlineLevel="0" collapsed="false">
      <c r="B13" s="37"/>
      <c r="C13" s="37"/>
      <c r="D13" s="37"/>
      <c r="E13" s="37"/>
      <c r="F13" s="37"/>
      <c r="G13" s="37"/>
    </row>
    <row r="14" customFormat="false" ht="15" hidden="false" customHeight="true" outlineLevel="0" collapsed="false">
      <c r="B14" s="37"/>
      <c r="C14" s="37"/>
      <c r="D14" s="37"/>
      <c r="E14" s="37"/>
      <c r="F14" s="37"/>
      <c r="G14" s="37"/>
    </row>
    <row r="15" customFormat="false" ht="15" hidden="false" customHeight="true" outlineLevel="0" collapsed="false">
      <c r="B15" s="37"/>
      <c r="C15" s="37"/>
      <c r="D15" s="37"/>
      <c r="E15" s="37"/>
      <c r="F15" s="37"/>
      <c r="G15" s="37"/>
    </row>
    <row r="16" customFormat="false" ht="15" hidden="false" customHeight="true" outlineLevel="0" collapsed="false">
      <c r="B16" s="37"/>
      <c r="C16" s="37"/>
      <c r="D16" s="37"/>
      <c r="E16" s="37"/>
      <c r="F16" s="37"/>
      <c r="G16" s="37"/>
    </row>
    <row r="17" customFormat="false" ht="15" hidden="false" customHeight="true" outlineLevel="0" collapsed="false">
      <c r="B17" s="37"/>
      <c r="C17" s="37"/>
      <c r="D17" s="37"/>
      <c r="E17" s="37"/>
      <c r="F17" s="37"/>
      <c r="G17" s="37"/>
    </row>
    <row r="18" customFormat="false" ht="15" hidden="false" customHeight="true" outlineLevel="0" collapsed="false">
      <c r="B18" s="37"/>
      <c r="C18" s="37"/>
      <c r="D18" s="37"/>
      <c r="E18" s="37"/>
      <c r="F18" s="37"/>
      <c r="G18" s="37"/>
    </row>
    <row r="19" customFormat="false" ht="15" hidden="false" customHeight="true" outlineLevel="0" collapsed="false">
      <c r="B19" s="37"/>
      <c r="C19" s="37"/>
      <c r="D19" s="37"/>
      <c r="E19" s="37"/>
      <c r="F19" s="37"/>
      <c r="G19" s="37"/>
    </row>
    <row r="20" customFormat="false" ht="15" hidden="false" customHeight="true" outlineLevel="0" collapsed="false">
      <c r="B20" s="37"/>
      <c r="C20" s="37"/>
      <c r="D20" s="37"/>
      <c r="E20" s="37"/>
      <c r="F20" s="37"/>
      <c r="G20" s="37"/>
    </row>
    <row r="21" customFormat="false" ht="15" hidden="false" customHeight="true" outlineLevel="0" collapsed="false">
      <c r="B21" s="37"/>
      <c r="C21" s="37"/>
      <c r="D21" s="37"/>
      <c r="E21" s="37"/>
      <c r="F21" s="37"/>
      <c r="G21" s="37"/>
    </row>
    <row r="22" customFormat="false" ht="15" hidden="false" customHeight="true" outlineLevel="0" collapsed="false">
      <c r="B22" s="37"/>
      <c r="C22" s="37"/>
      <c r="D22" s="37"/>
      <c r="E22" s="37"/>
      <c r="F22" s="37"/>
      <c r="G22" s="37"/>
    </row>
    <row r="23" customFormat="false" ht="15" hidden="false" customHeight="true" outlineLevel="0" collapsed="false">
      <c r="B23" s="37"/>
      <c r="C23" s="37"/>
      <c r="D23" s="37"/>
      <c r="E23" s="37"/>
      <c r="F23" s="37"/>
      <c r="G23" s="37"/>
    </row>
    <row r="24" customFormat="false" ht="15" hidden="false" customHeight="true" outlineLevel="0" collapsed="false">
      <c r="B24" s="37"/>
      <c r="C24" s="37"/>
      <c r="D24" s="37"/>
      <c r="E24" s="37"/>
      <c r="F24" s="37"/>
      <c r="G24" s="37"/>
    </row>
    <row r="25" customFormat="false" ht="15" hidden="false" customHeight="true" outlineLevel="0" collapsed="false">
      <c r="B25" s="37"/>
      <c r="C25" s="37"/>
      <c r="D25" s="37"/>
      <c r="E25" s="37"/>
      <c r="F25" s="37"/>
      <c r="G25" s="37"/>
    </row>
    <row r="26" customFormat="false" ht="15" hidden="false" customHeight="true" outlineLevel="0" collapsed="false">
      <c r="B26" s="37"/>
      <c r="C26" s="37"/>
      <c r="D26" s="37"/>
      <c r="E26" s="37"/>
      <c r="F26" s="37"/>
      <c r="G26" s="37"/>
    </row>
    <row r="27" customFormat="false" ht="15" hidden="false" customHeight="true" outlineLevel="0" collapsed="false">
      <c r="B27" s="37"/>
      <c r="C27" s="37"/>
      <c r="D27" s="37"/>
      <c r="E27" s="37"/>
      <c r="F27" s="37"/>
      <c r="G27" s="37"/>
    </row>
    <row r="28" customFormat="false" ht="15" hidden="false" customHeight="true" outlineLevel="0" collapsed="false">
      <c r="B28" s="37"/>
      <c r="C28" s="37"/>
      <c r="D28" s="37"/>
      <c r="E28" s="37"/>
      <c r="F28" s="37"/>
      <c r="G28" s="37"/>
    </row>
    <row r="29" customFormat="false" ht="15" hidden="false" customHeight="true" outlineLevel="0" collapsed="false">
      <c r="B29" s="37"/>
      <c r="C29" s="37"/>
      <c r="D29" s="37"/>
      <c r="E29" s="37"/>
      <c r="F29" s="37"/>
      <c r="G29" s="37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4" min="3" style="1" width="18"/>
    <col collapsed="false" customWidth="true" hidden="false" outlineLevel="0" max="5" min="5" style="1" width="46"/>
  </cols>
  <sheetData>
    <row r="2" customFormat="false" ht="19.5" hidden="false" customHeight="true" outlineLevel="0" collapsed="false">
      <c r="B2" s="38" t="s">
        <v>253</v>
      </c>
    </row>
    <row r="4" customFormat="false" ht="15" hidden="false" customHeight="true" outlineLevel="0" collapsed="false">
      <c r="B4" s="39" t="s">
        <v>198</v>
      </c>
      <c r="C4" s="39" t="s">
        <v>125</v>
      </c>
      <c r="D4" s="39" t="s">
        <v>254</v>
      </c>
      <c r="E4" s="39" t="s">
        <v>255</v>
      </c>
    </row>
    <row r="5" customFormat="false" ht="15" hidden="false" customHeight="true" outlineLevel="0" collapsed="false">
      <c r="B5" s="1" t="s">
        <v>256</v>
      </c>
      <c r="C5" s="40" t="n">
        <v>500</v>
      </c>
      <c r="D5" s="40" t="n">
        <v>500</v>
      </c>
    </row>
    <row r="6" customFormat="false" ht="15" hidden="false" customHeight="true" outlineLevel="0" collapsed="false">
      <c r="B6" s="1" t="s">
        <v>257</v>
      </c>
      <c r="C6" s="40" t="n">
        <v>100</v>
      </c>
      <c r="D6" s="40" t="n">
        <v>5750</v>
      </c>
    </row>
    <row r="7" customFormat="false" ht="15" hidden="false" customHeight="true" outlineLevel="0" collapsed="false">
      <c r="B7" s="1" t="s">
        <v>258</v>
      </c>
      <c r="C7" s="40" t="n">
        <v>150</v>
      </c>
      <c r="D7" s="40" t="n">
        <v>50</v>
      </c>
    </row>
    <row r="8" customFormat="false" ht="15" hidden="false" customHeight="true" outlineLevel="0" collapsed="false">
      <c r="B8" s="1" t="s">
        <v>259</v>
      </c>
      <c r="C8" s="40" t="n">
        <v>50</v>
      </c>
      <c r="D8" s="40" t="n">
        <v>300</v>
      </c>
    </row>
    <row r="9" customFormat="false" ht="15" hidden="false" customHeight="true" outlineLevel="0" collapsed="false">
      <c r="B9" s="1" t="s">
        <v>260</v>
      </c>
      <c r="C9" s="40" t="n">
        <v>75</v>
      </c>
      <c r="D9" s="40" t="n">
        <v>250</v>
      </c>
    </row>
    <row r="10" customFormat="false" ht="15" hidden="false" customHeight="true" outlineLevel="0" collapsed="false">
      <c r="B10" s="1" t="s">
        <v>261</v>
      </c>
      <c r="C10" s="40" t="n">
        <v>100</v>
      </c>
      <c r="D10" s="40" t="n">
        <v>100</v>
      </c>
    </row>
    <row r="11" customFormat="false" ht="15" hidden="false" customHeight="true" outlineLevel="0" collapsed="false">
      <c r="B11" s="1" t="s">
        <v>262</v>
      </c>
      <c r="C11" s="40" t="n">
        <v>100</v>
      </c>
      <c r="D11" s="40" t="n">
        <v>50</v>
      </c>
    </row>
    <row r="12" customFormat="false" ht="15" hidden="false" customHeight="true" outlineLevel="0" collapsed="false">
      <c r="B12" s="1" t="s">
        <v>263</v>
      </c>
      <c r="C12" s="40" t="n">
        <v>125</v>
      </c>
      <c r="D12" s="40" t="n">
        <v>50</v>
      </c>
    </row>
    <row r="13" customFormat="false" ht="15" hidden="false" customHeight="true" outlineLevel="0" collapsed="false">
      <c r="B13" s="1" t="s">
        <v>264</v>
      </c>
      <c r="C13" s="40" t="n">
        <v>100</v>
      </c>
      <c r="D13" s="40" t="n">
        <v>9500</v>
      </c>
    </row>
    <row r="14" customFormat="false" ht="15" hidden="false" customHeight="true" outlineLevel="0" collapsed="false">
      <c r="B14" s="1" t="s">
        <v>265</v>
      </c>
      <c r="C14" s="40" t="n">
        <v>50</v>
      </c>
      <c r="D14" s="40" t="n">
        <v>50</v>
      </c>
    </row>
    <row r="15" customFormat="false" ht="15" hidden="false" customHeight="true" outlineLevel="0" collapsed="false">
      <c r="B15" s="1" t="s">
        <v>266</v>
      </c>
      <c r="C15" s="40" t="n">
        <v>300</v>
      </c>
      <c r="D15" s="40" t="n">
        <v>4000</v>
      </c>
    </row>
    <row r="16" customFormat="false" ht="15" hidden="false" customHeight="true" outlineLevel="0" collapsed="false">
      <c r="B16" s="1" t="s">
        <v>267</v>
      </c>
      <c r="C16" s="41" t="n">
        <v>0.06</v>
      </c>
      <c r="D16" s="41" t="n">
        <v>0.12</v>
      </c>
    </row>
    <row r="17" customFormat="false" ht="15" hidden="false" customHeight="true" outlineLevel="0" collapsed="false">
      <c r="B17" s="1" t="s">
        <v>268</v>
      </c>
      <c r="C17" s="40" t="n">
        <v>150</v>
      </c>
      <c r="D17" s="40" t="n">
        <v>1750</v>
      </c>
    </row>
    <row r="18" customFormat="false" ht="15" hidden="false" customHeight="true" outlineLevel="0" collapsed="false">
      <c r="B18" s="1" t="s">
        <v>269</v>
      </c>
      <c r="C18" s="41" t="n">
        <v>0.07</v>
      </c>
      <c r="D18" s="41" t="n">
        <v>0.15</v>
      </c>
    </row>
    <row r="19" customFormat="false" ht="15" hidden="false" customHeight="true" outlineLevel="0" collapsed="false">
      <c r="B19" s="1" t="s">
        <v>128</v>
      </c>
      <c r="C19" s="40" t="n">
        <v>150</v>
      </c>
      <c r="D19" s="40" t="n">
        <v>80</v>
      </c>
    </row>
    <row r="20" customFormat="false" ht="15" hidden="false" customHeight="true" outlineLevel="0" collapsed="false">
      <c r="B20" s="1" t="s">
        <v>270</v>
      </c>
      <c r="C20" s="41" t="n">
        <v>0.4</v>
      </c>
      <c r="D20" s="41" t="n">
        <v>0.35</v>
      </c>
    </row>
    <row r="21" customFormat="false" ht="15" hidden="false" customHeight="true" outlineLevel="0" collapsed="false">
      <c r="B21" s="1" t="s">
        <v>271</v>
      </c>
      <c r="C21" s="42" t="n">
        <v>2</v>
      </c>
      <c r="D21" s="42" t="n">
        <v>2</v>
      </c>
    </row>
    <row r="22" customFormat="false" ht="15" hidden="false" customHeight="true" outlineLevel="0" collapsed="false">
      <c r="B22" s="1" t="s">
        <v>272</v>
      </c>
      <c r="C22" s="41" t="n">
        <v>0.1</v>
      </c>
      <c r="D22" s="41" t="n">
        <v>0.1</v>
      </c>
    </row>
    <row r="26" customFormat="false" ht="15" hidden="false" customHeight="true" outlineLevel="0" collapsed="false">
      <c r="B26" s="1" t="s">
        <v>273</v>
      </c>
      <c r="C26" s="43" t="n">
        <f aca="false">MAX(0,C5+C6-C7)</f>
        <v>450</v>
      </c>
      <c r="D26" s="43" t="n">
        <f aca="false">MAX(0,D5+D6-D7)</f>
        <v>6200</v>
      </c>
    </row>
    <row r="27" customFormat="false" ht="15" hidden="false" customHeight="true" outlineLevel="0" collapsed="false">
      <c r="B27" s="1" t="s">
        <v>274</v>
      </c>
      <c r="C27" s="43" t="n">
        <f aca="false">C8+C9</f>
        <v>125</v>
      </c>
      <c r="D27" s="43" t="n">
        <f aca="false">D8+D9</f>
        <v>550</v>
      </c>
    </row>
    <row r="28" customFormat="false" ht="15" hidden="false" customHeight="true" outlineLevel="0" collapsed="false">
      <c r="B28" s="1" t="s">
        <v>177</v>
      </c>
      <c r="C28" s="43" t="n">
        <f aca="false">MAX(0,C27-C13-C14)</f>
        <v>0</v>
      </c>
      <c r="D28" s="43" t="n">
        <f aca="false">MAX(0,D27-D13-D14)</f>
        <v>0</v>
      </c>
    </row>
    <row r="29" customFormat="false" ht="15" hidden="false" customHeight="true" outlineLevel="0" collapsed="false">
      <c r="B29" s="1" t="s">
        <v>275</v>
      </c>
      <c r="C29" s="44" t="n">
        <f aca="false">IFERROR(MAX(C8:C12)/SUM(C8:C12),0)</f>
        <v>0.277777777777778</v>
      </c>
      <c r="D29" s="44" t="n">
        <f aca="false">IFERROR(MAX(D8:D12)/SUM(D8:D12),0)</f>
        <v>0.4</v>
      </c>
    </row>
    <row r="30" customFormat="false" ht="15" hidden="false" customHeight="true" outlineLevel="0" collapsed="false">
      <c r="B30" s="1" t="s">
        <v>276</v>
      </c>
      <c r="C30" s="44" t="n">
        <f aca="false">IFERROR((C15*C16+C17*C18)/(C15+C17),0)</f>
        <v>0.0633333333333333</v>
      </c>
      <c r="D30" s="44" t="n">
        <f aca="false">IFERROR((D15*D16+D17*D18)/(D15+D17),0)</f>
        <v>0.129130434782609</v>
      </c>
    </row>
    <row r="31" customFormat="false" ht="15" hidden="false" customHeight="true" outlineLevel="0" collapsed="false">
      <c r="B31" s="1" t="s">
        <v>162</v>
      </c>
      <c r="C31" s="43" t="n">
        <f aca="false">C26*C30</f>
        <v>28.5</v>
      </c>
      <c r="D31" s="43" t="n">
        <f aca="false">D26*D30</f>
        <v>800.608695652174</v>
      </c>
    </row>
    <row r="32" customFormat="false" ht="15" hidden="false" customHeight="true" outlineLevel="0" collapsed="false">
      <c r="B32" s="1" t="s">
        <v>165</v>
      </c>
      <c r="C32" s="45" t="n">
        <f aca="false">IFERROR(C19/C31,0)</f>
        <v>5.26315789473684</v>
      </c>
      <c r="D32" s="45" t="n">
        <f aca="false">IFERROR(D19/D31,0)</f>
        <v>0.0999239708917128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4" min="3" style="1" width="18"/>
    <col collapsed="false" customWidth="true" hidden="false" outlineLevel="0" max="5" min="5" style="1" width="54"/>
  </cols>
  <sheetData>
    <row r="2" customFormat="false" ht="19.5" hidden="false" customHeight="true" outlineLevel="0" collapsed="false">
      <c r="B2" s="38" t="s">
        <v>277</v>
      </c>
    </row>
    <row r="4" customFormat="false" ht="15" hidden="false" customHeight="true" outlineLevel="0" collapsed="false">
      <c r="B4" s="39" t="s">
        <v>278</v>
      </c>
      <c r="C4" s="39" t="s">
        <v>198</v>
      </c>
      <c r="D4" s="39" t="s">
        <v>44</v>
      </c>
      <c r="E4" s="39" t="s">
        <v>279</v>
      </c>
    </row>
    <row r="5" customFormat="false" ht="15" hidden="false" customHeight="true" outlineLevel="0" collapsed="false">
      <c r="B5" s="1" t="s">
        <v>280</v>
      </c>
      <c r="C5" s="46" t="n">
        <f aca="false">'Refinancing &amp; Rates'!D26-MAX(0,'Refinancing &amp; Rates'!D5+'Refinancing &amp; Rates'!D6-'Refinancing &amp; Rates'!D7)</f>
        <v>0</v>
      </c>
      <c r="D5" s="47" t="str">
        <f aca="false">IF(ABS(C5)&lt;0.01,"PASS","FAIL")</f>
        <v>PASS</v>
      </c>
      <c r="E5" s="1" t="s">
        <v>281</v>
      </c>
    </row>
    <row r="6" customFormat="false" ht="15" hidden="false" customHeight="true" outlineLevel="0" collapsed="false">
      <c r="B6" s="1" t="s">
        <v>282</v>
      </c>
      <c r="C6" s="46" t="n">
        <f aca="false">'Refinancing &amp; Rates'!D30*('Refinancing &amp; Rates'!D15+'Refinancing &amp; Rates'!D17)-('Refinancing &amp; Rates'!D15*'Refinancing &amp; Rates'!D16+'Refinancing &amp; Rates'!D17*'Refinancing &amp; Rates'!D18)</f>
        <v>0</v>
      </c>
      <c r="D6" s="47" t="str">
        <f aca="false">IF(ABS(C6)&lt;0.01,"PASS","FAIL")</f>
        <v>PASS</v>
      </c>
      <c r="E6" s="1" t="s">
        <v>283</v>
      </c>
    </row>
    <row r="7" customFormat="false" ht="15" hidden="false" customHeight="true" outlineLevel="0" collapsed="false">
      <c r="B7" s="1" t="s">
        <v>177</v>
      </c>
      <c r="C7" s="46" t="n">
        <f aca="false">'Refinancing &amp; Rates'!D28</f>
        <v>0</v>
      </c>
      <c r="D7" s="47" t="str">
        <f aca="false">IF(C7=0,"PASS","BREACH")</f>
        <v>PASS</v>
      </c>
      <c r="E7" s="1" t="s">
        <v>284</v>
      </c>
    </row>
    <row r="8" customFormat="false" ht="15" hidden="false" customHeight="true" outlineLevel="0" collapsed="false">
      <c r="B8" s="1" t="s">
        <v>275</v>
      </c>
      <c r="C8" s="46" t="n">
        <f aca="false">'Refinancing &amp; Rates'!D29</f>
        <v>0.4</v>
      </c>
      <c r="D8" s="47" t="str">
        <f aca="false">IF(C8&lt;='Refinancing &amp; Rates'!D20,"PASS","BREACH")</f>
        <v>BREACH</v>
      </c>
      <c r="E8" s="1" t="s">
        <v>285</v>
      </c>
    </row>
    <row r="9" customFormat="false" ht="15" hidden="false" customHeight="true" outlineLevel="0" collapsed="false">
      <c r="B9" s="1" t="s">
        <v>165</v>
      </c>
      <c r="C9" s="46" t="n">
        <f aca="false">'Refinancing &amp; Rates'!D32</f>
        <v>0.0999239708917128</v>
      </c>
      <c r="D9" s="47" t="str">
        <f aca="false">IF(C9&gt;='Refinancing &amp; Rates'!D21,"PASS","BREACH")</f>
        <v>BREACH</v>
      </c>
      <c r="E9" s="1" t="s">
        <v>286</v>
      </c>
    </row>
    <row r="10" customFormat="false" ht="15" hidden="false" customHeight="true" outlineLevel="0" collapsed="false">
      <c r="B10" s="1" t="s">
        <v>287</v>
      </c>
      <c r="C10" s="46" t="n">
        <f aca="false">'Refinancing &amp; Rates'!D30</f>
        <v>0.129130434782609</v>
      </c>
      <c r="D10" s="47" t="str">
        <f aca="false">IF(C10&lt;='Refinancing &amp; Rates'!D22,"PASS","BREACH")</f>
        <v>BREACH</v>
      </c>
      <c r="E10" s="1" t="s">
        <v>288</v>
      </c>
    </row>
    <row r="12" customFormat="false" ht="15" hidden="false" customHeight="true" outlineLevel="0" collapsed="false">
      <c r="B12" s="48" t="s">
        <v>289</v>
      </c>
      <c r="C12" s="49" t="str">
        <f aca="false">IF(COUNTIF(D5:D10,"FAIL")+COUNTIF(D5:D10,"BREACH")&gt;0,"BREACH",IF(COUNTIF(D5:D10,"REVIEW")&gt;0,"REVIEW","PASS"))</f>
        <v>BREACH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2026-08-04T17:34:22Z</dcterms:created>
  <dc:creator>openpyxl</dc:creator>
  <dc:description/>
  <dc:language>en-US</dc:language>
  <cp:lastModifiedBy/>
  <dcterms:modified xsi:type="dcterms:W3CDTF">2026-08-04T18:30:43Z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