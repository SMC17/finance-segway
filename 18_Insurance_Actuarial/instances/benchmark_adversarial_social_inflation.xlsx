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Paid Triangle" sheetId="6" state="visible" r:id="rId8"/>
    <sheet name="Chain Ladder" sheetId="7" state="visible" r:id="rId9"/>
    <sheet name="Bornhuetter-Ferguson" sheetId="8" state="visible" r:id="rId10"/>
    <sheet name="Underwriting" sheetId="9" state="visible" r:id="rId11"/>
    <sheet name="Embedded Value" sheetId="10" state="visible" r:id="rId12"/>
    <sheet name="Capital" sheetId="11" state="visible" r:id="rId13"/>
    <sheet name="Stress" sheetId="12" state="visible" r:id="rId14"/>
    <sheet name="Checks" sheetId="13" state="visible" r:id="rId15"/>
    <sheet name="Sources" sheetId="14" state="visible" r:id="rId16"/>
    <sheet name="RefreshLog" sheetId="15" state="visible" r:id="rId17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<sst xmlns="http://schemas.openxmlformats.org/spreadsheetml/2006/main" count="376" uniqueCount="261">
  <si>
    <t xml:space="preserve">[INSURER / BOOK] — Insurance &amp; Actuarial Model</t>
  </si>
  <si>
    <t xml:space="preserve">Entity / line of business:</t>
  </si>
  <si>
    <t xml:space="preserve">Adversarial Social-Inflation Book</t>
  </si>
  <si>
    <t xml:space="preserve">Valuation date:</t>
  </si>
  <si>
    <t xml:space="preserve">[date]</t>
  </si>
  <si>
    <t xml:space="preserve">Last refreshed:</t>
  </si>
  <si>
    <t xml:space="preserve">2026-08-03</t>
  </si>
  <si>
    <t xml:space="preserve">Next reserve / capital review:</t>
  </si>
  <si>
    <t xml:space="preserve">Refresh cadence:</t>
  </si>
  <si>
    <t xml:space="preserve">Quarterly and on material claims events</t>
  </si>
  <si>
    <t xml:space="preserve">Active scenario:</t>
  </si>
  <si>
    <t xml:space="preserve">Downside</t>
  </si>
  <si>
    <t xml:space="preserve">Units:</t>
  </si>
  <si>
    <t xml:space="preserve">$ in millions unless noted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</si>
  <si>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</si>
  <si>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</si>
  <si>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</si>
  <si>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</si>
  <si>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</si>
  <si>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</si>
  <si>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</si>
  <si>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</si>
  <si>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</si>
  <si>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Insurance &amp; Actuarial — Institutional Decision Surface</t>
  </si>
  <si>
    <t xml:space="preserve">Model ID</t>
  </si>
  <si>
    <t xml:space="preserve">18</t>
  </si>
  <si>
    <t xml:space="preserve">Domain</t>
  </si>
  <si>
    <t xml:space="preserve">Insurance &amp; Actuarial</t>
  </si>
  <si>
    <t xml:space="preserve">Declared maturity</t>
  </si>
  <si>
    <t xml:space="preserve">M2</t>
  </si>
  <si>
    <t xml:space="preserve">Canonical builder</t>
  </si>
  <si>
    <t xml:space="preserve">tools/builders/build_insurance_release.py</t>
  </si>
  <si>
    <t xml:space="preserve">Decision arena</t>
  </si>
  <si>
    <t xml:space="preserve">actuarial, underwriting, finance, capital committee and regulator</t>
  </si>
  <si>
    <t xml:space="preserve">Committee artifact</t>
  </si>
  <si>
    <t xml:space="preserve">reserve, profitability and capital pack</t>
  </si>
  <si>
    <t xml:space="preserve">Operating cadence</t>
  </si>
  <si>
    <t xml:space="preserve">monthly reserve monitoring; quarterly close; annual assumption review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</si>
  <si>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</si>
  <si>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</si>
  <si>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</si>
  <si>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</si>
  <si>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</si>
  <si>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</si>
  <si>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ultimate loss and reserve</t>
  </si>
  <si>
    <t xml:space="preserve">OPEN</t>
  </si>
  <si>
    <t xml:space="preserve">loss ratio and combined ratio</t>
  </si>
  <si>
    <t xml:space="preserve">new-business and embedded value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</si>
  <si>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</si>
  <si>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</si>
  <si>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</si>
  <si>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Which accident years are driving development?</t>
  </si>
  <si>
    <t xml:space="preserve">What operational change broke historical comparability?</t>
  </si>
  <si>
    <t xml:space="preserve">How collectible are reinsurance balances?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</si>
  <si>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</si>
  <si>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</si>
  <si>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</si>
  <si>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reserve deterioration</t>
  </si>
  <si>
    <t xml:space="preserve">frequency / severity inflation</t>
  </si>
  <si>
    <t xml:space="preserve">catastrophe event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</si>
  <si>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</si>
  <si>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</si>
  <si>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</si>
  <si>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policy and claims triangles</t>
  </si>
  <si>
    <t xml:space="preserve">actuarial methods and assumptions</t>
  </si>
  <si>
    <t xml:space="preserve">reinsurance treaties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</si>
  <si>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</si>
  <si>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</si>
  <si>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</si>
  <si>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triangle monotonicity where appropriate</t>
  </si>
  <si>
    <t xml:space="preserve">development factors bounded and explained</t>
  </si>
  <si>
    <t xml:space="preserve">reserve roll-forward reconciles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</si>
  <si>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</si>
  <si>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</si>
  <si>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</si>
  <si>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blindly selecting latest link ratios</t>
  </si>
  <si>
    <t xml:space="preserve">mixing accident, report and policy year</t>
  </si>
  <si>
    <t xml:space="preserve">ignoring claims inflation regime change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</si>
  <si>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</si>
  <si>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</si>
  <si>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</si>
  <si>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</si>
  <si>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</si>
  <si>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</si>
  <si>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</si>
  <si>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</si>
  <si>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</si>
  <si>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</si>
  <si>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</si>
  <si>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</si>
  <si>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NAIC Risk-Based Capital</t>
  </si>
  <si>
    <t xml:space="preserve">risk-sensitive statutory capital</t>
  </si>
  <si>
    <t xml:space="preserve">https://content.naic.org/insurance-topics/risk-based-capital</t>
  </si>
  <si>
    <t xml:space="preserve">IFRS 17 Insurance Contracts</t>
  </si>
  <si>
    <t xml:space="preserve">insurance measurement and risk release</t>
  </si>
  <si>
    <t xml:space="preserve">https://www.ifrs.org/issued-standards/list-of-standards/ifrs-17-insurance-contracts/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</si>
  <si>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</si>
  <si>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</si>
  <si>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</si>
  <si>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</si>
  <si>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</si>
  <si>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</si>
  <si>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</si>
  <si>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</si>
  <si>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</si>
  <si>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</si>
  <si>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</si>
  <si>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</si>
  <si>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</si>
  <si>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</si>
  <si>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</si>
  <si>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</si>
  <si>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claims transactions</t>
  </si>
  <si>
    <t xml:space="preserve">monthly</t>
  </si>
  <si>
    <t xml:space="preserve">paid/incurred and claim-id reconciliation</t>
  </si>
  <si>
    <t xml:space="preserve">TO MAP</t>
  </si>
  <si>
    <t xml:space="preserve">exposure and premium</t>
  </si>
  <si>
    <t xml:space="preserve">earned/written definition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</si>
  <si>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</si>
  <si>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</si>
  <si>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</si>
  <si>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</si>
  <si>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</si>
  <si>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</si>
  <si>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Actuarial, Underwriting, and Capital Assumptions</t>
  </si>
  <si>
    <t xml:space="preserve">Assumption</t>
  </si>
  <si>
    <t xml:space="preserve">Base</t>
  </si>
  <si>
    <t xml:space="preserve">Active</t>
  </si>
  <si>
    <t xml:space="preserve">Units / note</t>
  </si>
  <si>
    <t xml:space="preserve">Expected loss ratio</t>
  </si>
  <si>
    <t xml:space="preserve">%</t>
  </si>
  <si>
    <t xml:space="preserve">Expense ratio</t>
  </si>
  <si>
    <t xml:space="preserve">Annual premium growth</t>
  </si>
  <si>
    <t xml:space="preserve">Claims inflation</t>
  </si>
  <si>
    <t xml:space="preserve">Discount rate</t>
  </si>
  <si>
    <t xml:space="preserve">Risk margin / reserve</t>
  </si>
  <si>
    <t xml:space="preserve">Opening earned premium</t>
  </si>
  <si>
    <t xml:space="preserve">$mm</t>
  </si>
  <si>
    <t xml:space="preserve">Opening invested assets</t>
  </si>
  <si>
    <t xml:space="preserve">Investment yield</t>
  </si>
  <si>
    <t xml:space="preserve">Opening available capital</t>
  </si>
  <si>
    <t xml:space="preserve">Premium risk factor</t>
  </si>
  <si>
    <t xml:space="preserve">% premium</t>
  </si>
  <si>
    <t xml:space="preserve">Reserve risk factor</t>
  </si>
  <si>
    <t xml:space="preserve">% reserve</t>
  </si>
  <si>
    <t xml:space="preserve">Asset risk factor</t>
  </si>
  <si>
    <t xml:space="preserve">% assets</t>
  </si>
  <si>
    <t xml:space="preserve">Minimum capital coverage</t>
  </si>
  <si>
    <t xml:space="preserve">x</t>
  </si>
  <si>
    <t xml:space="preserve">Cost of capital</t>
  </si>
  <si>
    <t xml:space="preserve">Projection horizon</t>
  </si>
  <si>
    <t xml:space="preserve">years</t>
  </si>
  <si>
    <t xml:space="preserve">Cumulative Paid Loss Triangle</t>
  </si>
  <si>
    <t xml:space="preserve">Accident year</t>
  </si>
  <si>
    <t xml:space="preserve">12m</t>
  </si>
  <si>
    <t xml:space="preserve">24m</t>
  </si>
  <si>
    <t xml:space="preserve">36m</t>
  </si>
  <si>
    <t xml:space="preserve">48m</t>
  </si>
  <si>
    <t xml:space="preserve">60m</t>
  </si>
  <si>
    <t xml:space="preserve">72m</t>
  </si>
  <si>
    <t xml:space="preserve">84m</t>
  </si>
  <si>
    <t xml:space="preserve">96m</t>
  </si>
  <si>
    <t xml:space="preserve">108m</t>
  </si>
  <si>
    <t xml:space="preserve">120m</t>
  </si>
  <si>
    <t xml:space="preserve">Chain-Ladder Reserve Development</t>
  </si>
  <si>
    <t xml:space="preserve">Metric</t>
  </si>
  <si>
    <t xml:space="preserve">Ultimate</t>
  </si>
  <si>
    <t xml:space="preserve">Reserve</t>
  </si>
  <si>
    <t xml:space="preserve">Selected age-to-age factor</t>
  </si>
  <si>
    <t xml:space="preserve">Cumulative development factor</t>
  </si>
  <si>
    <t xml:space="preserve">Total</t>
  </si>
  <si>
    <t xml:space="preserve">Bornhuetter-Ferguson Reserve Estimate</t>
  </si>
  <si>
    <t xml:space="preserve">Earned premium</t>
  </si>
  <si>
    <t xml:space="preserve">Expected loss</t>
  </si>
  <si>
    <t xml:space="preserve">% paid</t>
  </si>
  <si>
    <t xml:space="preserve">Paid to date</t>
  </si>
  <si>
    <t xml:space="preserve">BF ultimate</t>
  </si>
  <si>
    <t xml:space="preserve">BF reserve</t>
  </si>
  <si>
    <t xml:space="preserve">Five-Year Underwriting Forecast</t>
  </si>
  <si>
    <t xml:space="preserve">$mm / %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</si>
  <si>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</si>
  <si>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</si>
  <si>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</si>
  <si>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</si>
  <si>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</si>
  <si>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Incurred losses</t>
  </si>
  <si>
    <t xml:space="preserve">Underwriting expenses</t>
  </si>
  <si>
    <t xml:space="preserve">Underwriting result</t>
  </si>
  <si>
    <t xml:space="preserve">Loss ratio</t>
  </si>
  <si>
    <t xml:space="preserve">Combined ratio</t>
  </si>
  <si>
    <t xml:space="preserve">Investment income</t>
  </si>
  <si>
    <t xml:space="preserve">Pre-tax operating income</t>
  </si>
  <si>
    <t xml:space="preserve">Simplified Embedded Value</t>
  </si>
  <si>
    <t xml:space="preserve">Tax at 25%</t>
  </si>
  <si>
    <t xml:space="preserve">After-tax distributable earnings</t>
  </si>
  <si>
    <t xml:space="preserve">Risk margin charge</t>
  </si>
  <si>
    <t xml:space="preserve">Economic earnings</t>
  </si>
  <si>
    <t xml:space="preserve">Discount factor</t>
  </si>
  <si>
    <t xml:space="preserve">PV economic earnings</t>
  </si>
  <si>
    <t xml:space="preserve">Adjusted net asset value</t>
  </si>
  <si>
    <t xml:space="preserve">Present value of future economic earnings</t>
  </si>
  <si>
    <t xml:space="preserve">Embedded value</t>
  </si>
  <si>
    <t xml:space="preserve">Economic and Regulatory Capital Screen</t>
  </si>
  <si>
    <t xml:space="preserve">Capital component</t>
  </si>
  <si>
    <t xml:space="preserve">Exposure</t>
  </si>
  <si>
    <t xml:space="preserve">Factor</t>
  </si>
  <si>
    <t xml:space="preserve">Premium risk</t>
  </si>
  <si>
    <t xml:space="preserve">Reserve risk</t>
  </si>
  <si>
    <t xml:space="preserve">Asset risk</t>
  </si>
  <si>
    <t xml:space="preserve">Diversified capital requirement</t>
  </si>
  <si>
    <t xml:space="preserve">Available capital</t>
  </si>
  <si>
    <t xml:space="preserve">Capital coverage</t>
  </si>
  <si>
    <t xml:space="preserve">Minimum coverage</t>
  </si>
  <si>
    <t xml:space="preserve">Capital status</t>
  </si>
  <si>
    <t xml:space="preserve">Reserve and Capital Stress Matrix</t>
  </si>
  <si>
    <t xml:space="preserve">Loss ratio / Asset shock</t>
  </si>
  <si>
    <t xml:space="preserve">Actuarial Model Checks</t>
  </si>
  <si>
    <t xml:space="preserve">Check</t>
  </si>
  <si>
    <t xml:space="preserve">Paid triangle cumulative</t>
  </si>
  <si>
    <t xml:space="preserve">Development factors at least one</t>
  </si>
  <si>
    <t xml:space="preserve">Chain-ladder reserve nonnegative</t>
  </si>
  <si>
    <t xml:space="preserve">BF reserve nonnegative</t>
  </si>
  <si>
    <t xml:space="preserve">Combined ratio finite</t>
  </si>
  <si>
    <t xml:space="preserve">Capital requirement positive</t>
  </si>
  <si>
    <t xml:space="preserve">Embedded value finite</t>
  </si>
  <si>
    <t xml:space="preserve">Overall</t>
  </si>
  <si>
    <t xml:space="preserve">Source Register</t>
  </si>
  <si>
    <t xml:space="preserve">Input / dataset</t>
  </si>
  <si>
    <t xml:space="preserve">Source URL or document</t>
  </si>
  <si>
    <t xml:space="preserve">Notes / transformation</t>
  </si>
  <si>
    <t xml:space="preserve">Actuarial loss data</t>
  </si>
  <si>
    <t xml:space="preserve">[claims system / public filing]</t>
  </si>
  <si>
    <t xml:space="preserve">[valuation date]</t>
  </si>
  <si>
    <t xml:space="preserve">Paid, incurred, case reserve, claim counts</t>
  </si>
  <si>
    <t xml:space="preserve">Premium and exposure data</t>
  </si>
  <si>
    <t xml:space="preserve">[policy administration source]</t>
  </si>
  <si>
    <t xml:space="preserve">[period]</t>
  </si>
  <si>
    <t xml:space="preserve">Earned premium, rate, mix, exposure</t>
  </si>
  <si>
    <t xml:space="preserve">Reinsurance contracts</t>
  </si>
  <si>
    <t xml:space="preserve">[treaty / facultative documentation]</t>
  </si>
  <si>
    <t xml:space="preserve">Limits, attachment, reinstatements, credit risk</t>
  </si>
  <si>
    <t xml:space="preserve">Capital methodology</t>
  </si>
  <si>
    <t xml:space="preserve">[regulator / internal methodology URL]</t>
  </si>
  <si>
    <t xml:space="preserve">[effective date]</t>
  </si>
  <si>
    <t xml:space="preserve">Risk factors, diversification, management actions</t>
  </si>
  <si>
    <t xml:space="preserve">Investment portfolio</t>
  </si>
  <si>
    <t xml:space="preserve">[asset ledger / filing]</t>
  </si>
  <si>
    <t xml:space="preserve">Yield, duration, credit, liquidity, unrealized gains</t>
  </si>
  <si>
    <t xml:space="preserve">Finance-Segway benchmark fixture insurance-adversarial-social-inflation</t>
  </si>
  <si>
    <t xml:space="preserve">repo://standards/benchmark_cases/insurance-adversarial-social-inflation.json</t>
  </si>
  <si>
    <t xml:space="preserve">Synthetic engineering fixture; not investment evidence</t>
  </si>
  <si>
    <t xml:space="preserve">Refresh Log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</si>
  <si>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</si>
  <si>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</si>
  <si>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</si>
  <si>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</si>
  <si>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</si>
  <si>
    <t xml:space="preserve">Synthetic benchmark generation</t>
  </si>
  <si>
    <t xml:space="preserve">Generated insurance-adversarial-social-inflation from canonical release template</t>
  </si>
  <si>
    <t xml:space="preserve">Engineering fixture only; not public underwriting or M4 evidence</t>
  </si>
  <si>
    <t xml:space="preserve">On builder, formula, or contract change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</si>
</sst>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;[RED]\(0.0%\);\-"/>
    <numFmt numFmtId="166" formatCode="0.00%;[RED]\(0.00%\);\-"/>
    <numFmt numFmtId="167" formatCode="\$#,##0.0;[RED]&quot;($&quot;#,##0.0\);\-"/>
    <numFmt numFmtId="168" formatCode="0.0\x;[RED]\(0.0&quot;x)&quot;;\-"/>
    <numFmt numFmtId="169" formatCode="0"/>
    <numFmt numFmtId="170" formatCode="0.0000\x"/>
    <numFmt numFmtId="171" formatCode="0.0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CE4D6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/>
      <top style="thin">
        <color rgb="FF11182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3" min="3" style="1" width="46"/>
    <col collapsed="false" customWidth="true" hidden="false" outlineLevel="0" max="6" min="4" style="1" width="12"/>
  </cols>
  <sheetData>
    <row r="2" customFormat="false" ht="27.75" hidden="false" customHeight="true" outlineLevel="0" collapsed="false">
      <c r="B2" s="2" t="s">
        <v>0</v>
      </c>
      <c r="C2" s="2"/>
      <c r="D2" s="2"/>
      <c r="E2" s="2"/>
      <c r="F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5" t="s">
        <v>4</v>
      </c>
    </row>
    <row r="6" customFormat="false" ht="15" hidden="false" customHeight="true" outlineLevel="0" collapsed="false">
      <c r="B6" s="3" t="s">
        <v>5</v>
      </c>
      <c r="C6" s="4" t="s">
        <v>6</v>
      </c>
    </row>
    <row r="7" customFormat="false" ht="15" hidden="false" customHeight="true" outlineLevel="0" collapsed="false">
      <c r="B7" s="3" t="s">
        <v>7</v>
      </c>
      <c r="C7" s="5" t="s">
        <v>4</v>
      </c>
    </row>
    <row r="8" customFormat="false" ht="15" hidden="false" customHeight="true" outlineLevel="0" collapsed="false">
      <c r="B8" s="3" t="s">
        <v>8</v>
      </c>
      <c r="C8" s="5" t="s">
        <v>9</v>
      </c>
    </row>
    <row r="9" customFormat="false" ht="15" hidden="false" customHeight="true" outlineLevel="0" collapsed="false">
      <c r="B9" s="3" t="s">
        <v>10</v>
      </c>
      <c r="C9" s="4" t="s">
        <v>11</v>
      </c>
    </row>
    <row r="10" customFormat="false" ht="15" hidden="false" customHeight="true" outlineLevel="0" collapsed="false">
      <c r="B10" s="3" t="s">
        <v>12</v>
      </c>
      <c r="C10" s="5" t="s">
        <v>13</v>
      </c>
    </row>
    <row r="13" customFormat="false" ht="15" hidden="false" customHeight="true" outlineLevel="0" collapsed="false">
      <c r="B13" s="6" t="s">
        <v>14</v>
      </c>
      <c r="C13" s="6"/>
      <c r="D13" s="6"/>
      <c r="E13" s="6"/>
      <c r="F13" s="6"/>
    </row>
    <row r="14" customFormat="false" ht="15" hidden="false" customHeight="true" outlineLevel="0" collapsed="false">
      <c r="B14" s="7" t="s">
        <v>15</v>
      </c>
      <c r="C14" s="8" t="s">
        <v>16</v>
      </c>
    </row>
    <row r="15" customFormat="false" ht="15" hidden="false" customHeight="true" outlineLevel="0" collapsed="false">
      <c r="B15" s="3" t="s">
        <v>17</v>
      </c>
      <c r="C15" s="8" t="s">
        <v>18</v>
      </c>
    </row>
    <row r="16" customFormat="false" ht="15" hidden="false" customHeight="true" outlineLevel="0" collapsed="false">
      <c r="B16" s="9" t="s">
        <v>19</v>
      </c>
      <c r="C16" s="8" t="s">
        <v>20</v>
      </c>
    </row>
    <row r="17" customFormat="false" ht="15" hidden="false" customHeight="true" outlineLevel="0" collapsed="false">
      <c r="B17" s="3" t="s">
        <v>21</v>
      </c>
      <c r="C17" s="8" t="s">
        <v>22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10" t="s">
        <v>23</v>
      </c>
      <c r="C2" s="10"/>
      <c r="D2" s="10"/>
      <c r="E2" s="10"/>
      <c r="F2" s="10"/>
    </row>
    <row r="4" customFormat="false" ht="15" hidden="false" customHeight="true" outlineLevel="0" collapsed="false">
      <c r="B4" s="11" t="s">
        <v>24</v>
      </c>
      <c r="C4" s="12" t="s">
        <v>25</v>
      </c>
      <c r="D4" s="12"/>
      <c r="E4" s="12"/>
      <c r="F4" s="12"/>
    </row>
    <row r="5" customFormat="false" ht="15" hidden="false" customHeight="true" outlineLevel="0" collapsed="false">
      <c r="B5" s="11" t="s">
        <v>26</v>
      </c>
      <c r="C5" s="12" t="s">
        <v>27</v>
      </c>
      <c r="D5" s="12"/>
      <c r="E5" s="12"/>
      <c r="F5" s="12"/>
    </row>
    <row r="6" customFormat="false" ht="15" hidden="false" customHeight="true" outlineLevel="0" collapsed="false">
      <c r="B6" s="11" t="s">
        <v>28</v>
      </c>
      <c r="C6" s="12" t="s">
        <v>29</v>
      </c>
      <c r="D6" s="12"/>
      <c r="E6" s="12"/>
      <c r="F6" s="12"/>
    </row>
    <row r="7" customFormat="false" ht="15" hidden="false" customHeight="true" outlineLevel="0" collapsed="false">
      <c r="B7" s="11" t="s">
        <v>30</v>
      </c>
      <c r="C7" s="12" t="s">
        <v>31</v>
      </c>
      <c r="D7" s="12"/>
      <c r="E7" s="12"/>
      <c r="F7" s="12"/>
    </row>
    <row r="8" customFormat="false" ht="15" hidden="false" customHeight="true" outlineLevel="0" collapsed="false">
      <c r="B8" s="11" t="s">
        <v>32</v>
      </c>
      <c r="C8" s="12" t="s">
        <v>33</v>
      </c>
      <c r="D8" s="12"/>
      <c r="E8" s="12"/>
      <c r="F8" s="12"/>
    </row>
    <row r="9" customFormat="false" ht="15" hidden="false" customHeight="true" outlineLevel="0" collapsed="false">
      <c r="B9" s="11" t="s">
        <v>34</v>
      </c>
      <c r="C9" s="12" t="s">
        <v>35</v>
      </c>
      <c r="D9" s="12"/>
      <c r="E9" s="12"/>
      <c r="F9" s="12"/>
    </row>
    <row r="10" customFormat="false" ht="15" hidden="false" customHeight="true" outlineLevel="0" collapsed="false">
      <c r="B10" s="11" t="s">
        <v>36</v>
      </c>
      <c r="C10" s="12" t="s">
        <v>37</v>
      </c>
      <c r="D10" s="12"/>
      <c r="E10" s="12"/>
      <c r="F10" s="12"/>
    </row>
    <row r="12" customFormat="false" ht="15" hidden="false" customHeight="false" outlineLevel="0" collapsed="false">
      <c r="B12" s="13" t="s">
        <v>38</v>
      </c>
      <c r="C12" s="13"/>
      <c r="D12" s="13"/>
      <c r="E12" s="13"/>
      <c r="F12" s="13"/>
    </row>
    <row r="13" customFormat="false" ht="15" hidden="false" customHeight="false" outlineLevel="0" collapsed="false">
      <c r="B13" s="14" t="s">
        <v>39</v>
      </c>
      <c r="C13" s="14" t="s">
        <v>40</v>
      </c>
      <c r="D13" s="14" t="s">
        <v>41</v>
      </c>
      <c r="E13" s="14" t="s">
        <v>42</v>
      </c>
      <c r="F13" s="14" t="s">
        <v>43</v>
      </c>
    </row>
    <row r="14" customFormat="false" ht="15" hidden="false" customHeight="false" outlineLevel="0" collapsed="false">
      <c r="B14" s="1" t="n">
        <v>1</v>
      </c>
      <c r="C14" s="1" t="s">
        <v>44</v>
      </c>
      <c r="D14" s="1"/>
      <c r="E14" s="1"/>
      <c r="F14" s="15" t="s">
        <v>45</v>
      </c>
    </row>
    <row r="15" customFormat="false" ht="15" hidden="false" customHeight="false" outlineLevel="0" collapsed="false">
      <c r="B15" s="1" t="n">
        <v>2</v>
      </c>
      <c r="C15" s="1" t="s">
        <v>46</v>
      </c>
      <c r="D15" s="1"/>
      <c r="E15" s="1"/>
      <c r="F15" s="15" t="s">
        <v>45</v>
      </c>
    </row>
    <row r="16" customFormat="false" ht="15" hidden="false" customHeight="false" outlineLevel="0" collapsed="false">
      <c r="B16" s="1" t="n">
        <v>3</v>
      </c>
      <c r="C16" s="1" t="s">
        <v>47</v>
      </c>
      <c r="D16" s="1"/>
      <c r="E16" s="1"/>
      <c r="F16" s="15" t="s">
        <v>45</v>
      </c>
    </row>
    <row r="17" customFormat="false" ht="15" hidden="false" customHeight="false" outlineLevel="0" collapsed="false">
      <c r="B17" s="1" t="n">
        <v>4</v>
      </c>
      <c r="C17" s="1" t="s">
        <v>48</v>
      </c>
      <c r="D17" s="1"/>
      <c r="E17" s="1"/>
      <c r="F17" s="15" t="s">
        <v>45</v>
      </c>
    </row>
    <row r="18" customFormat="false" ht="15" hidden="false" customHeight="false" outlineLevel="0" collapsed="false">
      <c r="B18" s="1" t="n">
        <v>5</v>
      </c>
      <c r="C18" s="1" t="s">
        <v>49</v>
      </c>
      <c r="D18" s="1"/>
      <c r="E18" s="1"/>
      <c r="F18" s="15" t="s">
        <v>45</v>
      </c>
    </row>
    <row r="20" customFormat="false" ht="15" hidden="false" customHeight="false" outlineLevel="0" collapsed="false">
      <c r="B20" s="13" t="s">
        <v>50</v>
      </c>
      <c r="C20" s="13"/>
      <c r="D20" s="13"/>
      <c r="E20" s="13"/>
      <c r="F20" s="13"/>
    </row>
    <row r="21" customFormat="false" ht="15" hidden="false" customHeight="false" outlineLevel="0" collapsed="false">
      <c r="B21" s="14" t="s">
        <v>39</v>
      </c>
      <c r="C21" s="14" t="s">
        <v>40</v>
      </c>
      <c r="D21" s="14" t="s">
        <v>41</v>
      </c>
      <c r="E21" s="14" t="s">
        <v>42</v>
      </c>
      <c r="F21" s="14" t="s">
        <v>43</v>
      </c>
    </row>
    <row r="22" customFormat="false" ht="15" hidden="false" customHeight="false" outlineLevel="0" collapsed="false">
      <c r="B22" s="1" t="n">
        <v>1</v>
      </c>
      <c r="C22" s="1" t="s">
        <v>51</v>
      </c>
      <c r="D22" s="1"/>
      <c r="E22" s="1"/>
      <c r="F22" s="15" t="s">
        <v>45</v>
      </c>
    </row>
    <row r="23" customFormat="false" ht="15" hidden="false" customHeight="false" outlineLevel="0" collapsed="false">
      <c r="B23" s="1" t="n">
        <v>2</v>
      </c>
      <c r="C23" s="1" t="s">
        <v>52</v>
      </c>
      <c r="D23" s="1"/>
      <c r="E23" s="1"/>
      <c r="F23" s="15" t="s">
        <v>45</v>
      </c>
    </row>
    <row r="24" customFormat="false" ht="15" hidden="false" customHeight="false" outlineLevel="0" collapsed="false">
      <c r="B24" s="1" t="n">
        <v>3</v>
      </c>
      <c r="C24" s="1" t="s">
        <v>53</v>
      </c>
      <c r="D24" s="1"/>
      <c r="E24" s="1"/>
      <c r="F24" s="15" t="s">
        <v>45</v>
      </c>
    </row>
    <row r="25" customFormat="false" ht="15" hidden="false" customHeight="false" outlineLevel="0" collapsed="false">
      <c r="B25" s="1" t="n">
        <v>4</v>
      </c>
      <c r="C25" s="1" t="s">
        <v>54</v>
      </c>
      <c r="D25" s="1"/>
      <c r="E25" s="1"/>
      <c r="F25" s="15" t="s">
        <v>45</v>
      </c>
    </row>
    <row r="26" customFormat="false" ht="15" hidden="false" customHeight="false" outlineLevel="0" collapsed="false">
      <c r="B26" s="1" t="n">
        <v>5</v>
      </c>
      <c r="C26" s="1" t="s">
        <v>55</v>
      </c>
      <c r="D26" s="1"/>
      <c r="E26" s="1"/>
      <c r="F26" s="15" t="s">
        <v>45</v>
      </c>
    </row>
    <row r="28" customFormat="false" ht="15" hidden="false" customHeight="false" outlineLevel="0" collapsed="false">
      <c r="B28" s="13" t="s">
        <v>56</v>
      </c>
      <c r="C28" s="13"/>
      <c r="D28" s="13"/>
      <c r="E28" s="13"/>
      <c r="F28" s="13"/>
    </row>
    <row r="29" customFormat="false" ht="15" hidden="false" customHeight="false" outlineLevel="0" collapsed="false">
      <c r="B29" s="14" t="s">
        <v>39</v>
      </c>
      <c r="C29" s="14" t="s">
        <v>40</v>
      </c>
      <c r="D29" s="14" t="s">
        <v>41</v>
      </c>
      <c r="E29" s="14" t="s">
        <v>42</v>
      </c>
      <c r="F29" s="14" t="s">
        <v>43</v>
      </c>
    </row>
    <row r="30" customFormat="false" ht="15" hidden="false" customHeight="false" outlineLevel="0" collapsed="false">
      <c r="B30" s="1" t="n">
        <v>1</v>
      </c>
      <c r="C30" s="1" t="s">
        <v>57</v>
      </c>
      <c r="D30" s="1"/>
      <c r="E30" s="1"/>
      <c r="F30" s="15" t="s">
        <v>45</v>
      </c>
    </row>
    <row r="31" customFormat="false" ht="15" hidden="false" customHeight="false" outlineLevel="0" collapsed="false">
      <c r="B31" s="1" t="n">
        <v>2</v>
      </c>
      <c r="C31" s="1" t="s">
        <v>58</v>
      </c>
      <c r="D31" s="1"/>
      <c r="E31" s="1"/>
      <c r="F31" s="15" t="s">
        <v>45</v>
      </c>
    </row>
    <row r="32" customFormat="false" ht="15" hidden="false" customHeight="false" outlineLevel="0" collapsed="false">
      <c r="B32" s="1" t="n">
        <v>3</v>
      </c>
      <c r="C32" s="1" t="s">
        <v>59</v>
      </c>
      <c r="D32" s="1"/>
      <c r="E32" s="1"/>
      <c r="F32" s="15" t="s">
        <v>45</v>
      </c>
    </row>
    <row r="33" customFormat="false" ht="15" hidden="false" customHeight="false" outlineLevel="0" collapsed="false">
      <c r="B33" s="1" t="n">
        <v>4</v>
      </c>
      <c r="C33" s="1" t="s">
        <v>60</v>
      </c>
      <c r="D33" s="1"/>
      <c r="E33" s="1"/>
      <c r="F33" s="15" t="s">
        <v>45</v>
      </c>
    </row>
    <row r="34" customFormat="false" ht="15" hidden="false" customHeight="false" outlineLevel="0" collapsed="false">
      <c r="B34" s="1" t="n">
        <v>5</v>
      </c>
      <c r="C34" s="1" t="s">
        <v>61</v>
      </c>
      <c r="D34" s="1"/>
      <c r="E34" s="1"/>
      <c r="F34" s="15" t="s">
        <v>45</v>
      </c>
    </row>
    <row r="36" customFormat="false" ht="15" hidden="false" customHeight="false" outlineLevel="0" collapsed="false">
      <c r="B36" s="13" t="s">
        <v>62</v>
      </c>
      <c r="C36" s="13"/>
      <c r="D36" s="13"/>
      <c r="E36" s="13"/>
      <c r="F36" s="13"/>
    </row>
    <row r="37" customFormat="false" ht="15" hidden="false" customHeight="false" outlineLevel="0" collapsed="false">
      <c r="B37" s="14" t="s">
        <v>39</v>
      </c>
      <c r="C37" s="14" t="s">
        <v>40</v>
      </c>
      <c r="D37" s="14" t="s">
        <v>41</v>
      </c>
      <c r="E37" s="14" t="s">
        <v>42</v>
      </c>
      <c r="F37" s="14" t="s">
        <v>43</v>
      </c>
    </row>
    <row r="38" customFormat="false" ht="15" hidden="false" customHeight="false" outlineLevel="0" collapsed="false">
      <c r="B38" s="1" t="n">
        <v>1</v>
      </c>
      <c r="C38" s="1" t="s">
        <v>63</v>
      </c>
      <c r="D38" s="1"/>
      <c r="E38" s="1"/>
      <c r="F38" s="15" t="s">
        <v>45</v>
      </c>
    </row>
    <row r="39" customFormat="false" ht="15" hidden="false" customHeight="false" outlineLevel="0" collapsed="false">
      <c r="B39" s="1" t="n">
        <v>2</v>
      </c>
      <c r="C39" s="1" t="s">
        <v>64</v>
      </c>
      <c r="D39" s="1"/>
      <c r="E39" s="1"/>
      <c r="F39" s="15" t="s">
        <v>45</v>
      </c>
    </row>
    <row r="40" customFormat="false" ht="15" hidden="false" customHeight="false" outlineLevel="0" collapsed="false">
      <c r="B40" s="1" t="n">
        <v>3</v>
      </c>
      <c r="C40" s="1" t="s">
        <v>65</v>
      </c>
      <c r="D40" s="1"/>
      <c r="E40" s="1"/>
      <c r="F40" s="15" t="s">
        <v>45</v>
      </c>
    </row>
    <row r="41" customFormat="false" ht="15" hidden="false" customHeight="false" outlineLevel="0" collapsed="false">
      <c r="B41" s="1" t="n">
        <v>4</v>
      </c>
      <c r="C41" s="1" t="s">
        <v>66</v>
      </c>
      <c r="D41" s="1"/>
      <c r="E41" s="1"/>
      <c r="F41" s="15" t="s">
        <v>45</v>
      </c>
    </row>
    <row r="42" customFormat="false" ht="15" hidden="false" customHeight="false" outlineLevel="0" collapsed="false">
      <c r="B42" s="1" t="n">
        <v>5</v>
      </c>
      <c r="C42" s="1" t="s">
        <v>67</v>
      </c>
      <c r="D42" s="1"/>
      <c r="E42" s="1"/>
      <c r="F42" s="15" t="s">
        <v>45</v>
      </c>
    </row>
    <row r="44" customFormat="false" ht="15" hidden="false" customHeight="false" outlineLevel="0" collapsed="false">
      <c r="B44" s="13" t="s">
        <v>68</v>
      </c>
      <c r="C44" s="13"/>
      <c r="D44" s="13"/>
      <c r="E44" s="13"/>
      <c r="F44" s="13"/>
    </row>
    <row r="45" customFormat="false" ht="15" hidden="false" customHeight="false" outlineLevel="0" collapsed="false">
      <c r="B45" s="14" t="s">
        <v>39</v>
      </c>
      <c r="C45" s="14" t="s">
        <v>40</v>
      </c>
      <c r="D45" s="14" t="s">
        <v>41</v>
      </c>
      <c r="E45" s="14" t="s">
        <v>42</v>
      </c>
      <c r="F45" s="14" t="s">
        <v>43</v>
      </c>
    </row>
    <row r="46" customFormat="false" ht="15" hidden="false" customHeight="false" outlineLevel="0" collapsed="false">
      <c r="B46" s="1" t="n">
        <v>1</v>
      </c>
      <c r="C46" s="1" t="s">
        <v>69</v>
      </c>
      <c r="D46" s="1"/>
      <c r="E46" s="1"/>
      <c r="F46" s="15" t="s">
        <v>45</v>
      </c>
    </row>
    <row r="47" customFormat="false" ht="15" hidden="false" customHeight="false" outlineLevel="0" collapsed="false">
      <c r="B47" s="1" t="n">
        <v>2</v>
      </c>
      <c r="C47" s="1" t="s">
        <v>70</v>
      </c>
      <c r="D47" s="1"/>
      <c r="E47" s="1"/>
      <c r="F47" s="15" t="s">
        <v>45</v>
      </c>
    </row>
    <row r="48" customFormat="false" ht="15" hidden="false" customHeight="false" outlineLevel="0" collapsed="false">
      <c r="B48" s="1" t="n">
        <v>3</v>
      </c>
      <c r="C48" s="1" t="s">
        <v>71</v>
      </c>
      <c r="D48" s="1"/>
      <c r="E48" s="1"/>
      <c r="F48" s="15" t="s">
        <v>45</v>
      </c>
    </row>
    <row r="49" customFormat="false" ht="15" hidden="false" customHeight="false" outlineLevel="0" collapsed="false">
      <c r="B49" s="1" t="n">
        <v>4</v>
      </c>
      <c r="C49" s="1" t="s">
        <v>72</v>
      </c>
      <c r="D49" s="1"/>
      <c r="E49" s="1"/>
      <c r="F49" s="15" t="s">
        <v>45</v>
      </c>
    </row>
    <row r="50" customFormat="false" ht="15" hidden="false" customHeight="false" outlineLevel="0" collapsed="false">
      <c r="B50" s="1" t="n">
        <v>5</v>
      </c>
      <c r="C50" s="1" t="s">
        <v>73</v>
      </c>
      <c r="D50" s="1"/>
      <c r="E50" s="1"/>
      <c r="F50" s="15" t="s">
        <v>45</v>
      </c>
    </row>
    <row r="52" customFormat="false" ht="15" hidden="false" customHeight="false" outlineLevel="0" collapsed="false">
      <c r="B52" s="13" t="s">
        <v>74</v>
      </c>
      <c r="C52" s="13"/>
      <c r="D52" s="13"/>
      <c r="E52" s="13"/>
      <c r="F52" s="13"/>
    </row>
    <row r="53" customFormat="false" ht="15" hidden="false" customHeight="false" outlineLevel="0" collapsed="false">
      <c r="B53" s="14" t="s">
        <v>39</v>
      </c>
      <c r="C53" s="14" t="s">
        <v>40</v>
      </c>
      <c r="D53" s="14" t="s">
        <v>41</v>
      </c>
      <c r="E53" s="14" t="s">
        <v>42</v>
      </c>
      <c r="F53" s="14" t="s">
        <v>43</v>
      </c>
    </row>
    <row r="54" customFormat="false" ht="15" hidden="false" customHeight="false" outlineLevel="0" collapsed="false">
      <c r="B54" s="1" t="n">
        <v>1</v>
      </c>
      <c r="C54" s="1" t="s">
        <v>75</v>
      </c>
      <c r="D54" s="1"/>
      <c r="E54" s="1"/>
      <c r="F54" s="15" t="s">
        <v>45</v>
      </c>
    </row>
    <row r="55" customFormat="false" ht="15" hidden="false" customHeight="false" outlineLevel="0" collapsed="false">
      <c r="B55" s="1" t="n">
        <v>2</v>
      </c>
      <c r="C55" s="1" t="s">
        <v>76</v>
      </c>
      <c r="D55" s="1"/>
      <c r="E55" s="1"/>
      <c r="F55" s="15" t="s">
        <v>45</v>
      </c>
    </row>
    <row r="56" customFormat="false" ht="15" hidden="false" customHeight="false" outlineLevel="0" collapsed="false">
      <c r="B56" s="1" t="n">
        <v>3</v>
      </c>
      <c r="C56" s="1" t="s">
        <v>77</v>
      </c>
      <c r="D56" s="1"/>
      <c r="E56" s="1"/>
      <c r="F56" s="15" t="s">
        <v>45</v>
      </c>
    </row>
    <row r="57" customFormat="false" ht="15" hidden="false" customHeight="false" outlineLevel="0" collapsed="false">
      <c r="B57" s="1" t="n">
        <v>4</v>
      </c>
      <c r="C57" s="1" t="s">
        <v>78</v>
      </c>
      <c r="D57" s="1"/>
      <c r="E57" s="1"/>
      <c r="F57" s="15" t="s">
        <v>45</v>
      </c>
    </row>
    <row r="58" customFormat="false" ht="15" hidden="false" customHeight="false" outlineLevel="0" collapsed="false">
      <c r="B58" s="1" t="n">
        <v>5</v>
      </c>
      <c r="C58" s="1" t="s">
        <v>79</v>
      </c>
      <c r="D58" s="1"/>
      <c r="E58" s="1"/>
      <c r="F58" s="15" t="s">
        <v>45</v>
      </c>
    </row>
    <row r="60" customFormat="false" ht="15" hidden="false" customHeight="false" outlineLevel="0" collapsed="false">
      <c r="B60" s="13" t="s">
        <v>80</v>
      </c>
      <c r="C60" s="13"/>
      <c r="D60" s="13"/>
      <c r="E60" s="13"/>
      <c r="F60" s="13"/>
    </row>
    <row r="61" customFormat="false" ht="15" hidden="false" customHeight="false" outlineLevel="0" collapsed="false">
      <c r="B61" s="14" t="s">
        <v>81</v>
      </c>
      <c r="C61" s="14" t="s">
        <v>82</v>
      </c>
      <c r="D61" s="14" t="s">
        <v>83</v>
      </c>
      <c r="E61" s="14" t="s">
        <v>84</v>
      </c>
      <c r="F61" s="14" t="s">
        <v>85</v>
      </c>
    </row>
    <row r="62" customFormat="false" ht="15" hidden="false" customHeight="false" outlineLevel="0" collapsed="false">
      <c r="B62" s="1" t="s">
        <v>86</v>
      </c>
      <c r="C62" s="1" t="s">
        <v>87</v>
      </c>
      <c r="D62" s="1" t="s">
        <v>88</v>
      </c>
      <c r="E62" s="1" t="s">
        <v>89</v>
      </c>
      <c r="F62" s="1"/>
    </row>
    <row r="63" customFormat="false" ht="15" hidden="false" customHeight="false" outlineLevel="0" collapsed="false">
      <c r="B63" s="1" t="s">
        <v>90</v>
      </c>
      <c r="C63" s="1" t="s">
        <v>91</v>
      </c>
      <c r="D63" s="1" t="s">
        <v>92</v>
      </c>
      <c r="E63" s="1" t="s">
        <v>89</v>
      </c>
      <c r="F63" s="1"/>
    </row>
    <row r="64" customFormat="false" ht="15" hidden="false" customHeight="false" outlineLevel="0" collapsed="false">
      <c r="B64" s="1" t="s">
        <v>93</v>
      </c>
      <c r="C64" s="1" t="s">
        <v>94</v>
      </c>
      <c r="D64" s="1" t="s">
        <v>95</v>
      </c>
      <c r="E64" s="1" t="s">
        <v>89</v>
      </c>
      <c r="F64" s="1"/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10" t="s">
        <v>96</v>
      </c>
      <c r="C2" s="10"/>
      <c r="D2" s="10"/>
      <c r="E2" s="10"/>
      <c r="F2" s="10"/>
      <c r="G2" s="10"/>
      <c r="H2" s="10"/>
      <c r="I2" s="10"/>
    </row>
    <row r="4" customFormat="false" ht="15" hidden="false" customHeight="false" outlineLevel="0" collapsed="false">
      <c r="B4" s="14" t="s">
        <v>97</v>
      </c>
      <c r="C4" s="14" t="s">
        <v>98</v>
      </c>
      <c r="D4" s="14" t="s">
        <v>99</v>
      </c>
      <c r="E4" s="14" t="s">
        <v>100</v>
      </c>
      <c r="F4" s="14" t="s">
        <v>101</v>
      </c>
      <c r="G4" s="14" t="s">
        <v>102</v>
      </c>
      <c r="H4" s="14" t="s">
        <v>43</v>
      </c>
      <c r="I4" s="14" t="s">
        <v>103</v>
      </c>
    </row>
    <row r="5" customFormat="false" ht="15" hidden="false" customHeight="false" outlineLevel="0" collapsed="false">
      <c r="B5" s="1"/>
      <c r="C5" s="1"/>
      <c r="D5" s="1" t="s">
        <v>69</v>
      </c>
      <c r="E5" s="1"/>
      <c r="F5" s="1"/>
      <c r="G5" s="1"/>
      <c r="H5" s="15" t="s">
        <v>45</v>
      </c>
      <c r="I5" s="1"/>
    </row>
    <row r="6" customFormat="false" ht="15" hidden="false" customHeight="false" outlineLevel="0" collapsed="false">
      <c r="B6" s="1"/>
      <c r="C6" s="1"/>
      <c r="D6" s="1" t="s">
        <v>70</v>
      </c>
      <c r="E6" s="1"/>
      <c r="F6" s="1"/>
      <c r="G6" s="1"/>
      <c r="H6" s="15" t="s">
        <v>45</v>
      </c>
      <c r="I6" s="1"/>
    </row>
    <row r="7" customFormat="false" ht="15" hidden="false" customHeight="false" outlineLevel="0" collapsed="false">
      <c r="B7" s="1"/>
      <c r="C7" s="1"/>
      <c r="D7" s="1" t="s">
        <v>71</v>
      </c>
      <c r="E7" s="1"/>
      <c r="F7" s="1"/>
      <c r="G7" s="1"/>
      <c r="H7" s="15" t="s">
        <v>45</v>
      </c>
      <c r="I7" s="1"/>
    </row>
    <row r="8" customFormat="false" ht="15" hidden="false" customHeight="false" outlineLevel="0" collapsed="false">
      <c r="B8" s="1"/>
      <c r="C8" s="1"/>
      <c r="D8" s="1" t="s">
        <v>72</v>
      </c>
      <c r="E8" s="1"/>
      <c r="F8" s="1"/>
      <c r="G8" s="1"/>
      <c r="H8" s="15" t="s">
        <v>45</v>
      </c>
      <c r="I8" s="1"/>
    </row>
    <row r="9" customFormat="false" ht="15" hidden="false" customHeight="false" outlineLevel="0" collapsed="false">
      <c r="B9" s="1"/>
      <c r="C9" s="1"/>
      <c r="D9" s="1" t="s">
        <v>73</v>
      </c>
      <c r="E9" s="1"/>
      <c r="F9" s="1"/>
      <c r="G9" s="1"/>
      <c r="H9" s="15" t="s">
        <v>45</v>
      </c>
      <c r="I9" s="1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10" t="s">
        <v>104</v>
      </c>
      <c r="C2" s="10"/>
      <c r="D2" s="10"/>
      <c r="E2" s="10"/>
      <c r="F2" s="10"/>
      <c r="G2" s="10"/>
      <c r="H2" s="10"/>
      <c r="I2" s="10"/>
      <c r="J2" s="10"/>
    </row>
    <row r="4" customFormat="false" ht="15" hidden="false" customHeight="false" outlineLevel="0" collapsed="false">
      <c r="B4" s="14" t="s">
        <v>105</v>
      </c>
      <c r="C4" s="14" t="s">
        <v>106</v>
      </c>
      <c r="D4" s="14" t="s">
        <v>107</v>
      </c>
      <c r="E4" s="14" t="s">
        <v>108</v>
      </c>
      <c r="F4" s="14" t="s">
        <v>109</v>
      </c>
      <c r="G4" s="14" t="s">
        <v>41</v>
      </c>
      <c r="H4" s="14" t="s">
        <v>110</v>
      </c>
      <c r="I4" s="14" t="s">
        <v>111</v>
      </c>
      <c r="J4" s="14" t="s">
        <v>43</v>
      </c>
    </row>
    <row r="5" customFormat="false" ht="15" hidden="false" customHeight="false" outlineLevel="0" collapsed="false">
      <c r="B5" s="1" t="s">
        <v>112</v>
      </c>
      <c r="C5" s="1" t="s">
        <v>113</v>
      </c>
      <c r="D5" s="1" t="s">
        <v>114</v>
      </c>
      <c r="E5" s="1"/>
      <c r="F5" s="1"/>
      <c r="G5" s="1"/>
      <c r="H5" s="1"/>
      <c r="I5" s="1"/>
      <c r="J5" s="15" t="s">
        <v>115</v>
      </c>
    </row>
    <row r="6" customFormat="false" ht="15" hidden="false" customHeight="false" outlineLevel="0" collapsed="false">
      <c r="B6" s="1" t="s">
        <v>116</v>
      </c>
      <c r="C6" s="1" t="s">
        <v>113</v>
      </c>
      <c r="D6" s="1" t="s">
        <v>117</v>
      </c>
      <c r="E6" s="1"/>
      <c r="F6" s="1"/>
      <c r="G6" s="1"/>
      <c r="H6" s="1"/>
      <c r="I6" s="1"/>
      <c r="J6" s="15" t="s">
        <v>115</v>
      </c>
    </row>
    <row r="7" customFormat="false" ht="15" hidden="false" customHeight="false" outlineLevel="0" collapsed="false">
      <c r="B7" s="1" t="s">
        <v>118</v>
      </c>
      <c r="C7" s="1" t="s">
        <v>119</v>
      </c>
      <c r="D7" s="1" t="s">
        <v>120</v>
      </c>
      <c r="E7" s="1"/>
      <c r="F7" s="1"/>
      <c r="G7" s="1"/>
      <c r="H7" s="1"/>
      <c r="I7" s="1"/>
      <c r="J7" s="15" t="s">
        <v>115</v>
      </c>
    </row>
    <row r="8" customFormat="false" ht="15" hidden="false" customHeight="false" outlineLevel="0" collapsed="false">
      <c r="B8" s="1" t="s">
        <v>121</v>
      </c>
      <c r="C8" s="1" t="s">
        <v>122</v>
      </c>
      <c r="D8" s="1" t="s">
        <v>123</v>
      </c>
      <c r="E8" s="1"/>
      <c r="F8" s="1"/>
      <c r="G8" s="1"/>
      <c r="H8" s="1"/>
      <c r="I8" s="1"/>
      <c r="J8" s="15" t="s">
        <v>115</v>
      </c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5" min="3" style="1" width="15"/>
    <col collapsed="false" customWidth="true" hidden="false" outlineLevel="0" max="6" min="6" style="1" width="30"/>
  </cols>
  <sheetData>
    <row r="2" customFormat="false" ht="27.75" hidden="false" customHeight="true" outlineLevel="0" collapsed="false">
      <c r="B2" s="2" t="s">
        <v>124</v>
      </c>
      <c r="C2" s="2"/>
      <c r="D2" s="2"/>
      <c r="E2" s="2"/>
      <c r="F2" s="2"/>
    </row>
    <row r="4" customFormat="false" ht="15" hidden="false" customHeight="true" outlineLevel="0" collapsed="false">
      <c r="B4" s="16" t="s">
        <v>125</v>
      </c>
      <c r="C4" s="16" t="s">
        <v>126</v>
      </c>
      <c r="D4" s="16" t="s">
        <v>11</v>
      </c>
      <c r="E4" s="16" t="s">
        <v>127</v>
      </c>
      <c r="F4" s="16" t="s">
        <v>128</v>
      </c>
    </row>
    <row r="5" customFormat="false" ht="15" hidden="false" customHeight="true" outlineLevel="0" collapsed="false">
      <c r="B5" s="1" t="s">
        <v>129</v>
      </c>
      <c r="C5" s="17" t="n">
        <v>0.62</v>
      </c>
      <c r="D5" s="18" t="n">
        <v>0.88</v>
      </c>
      <c r="E5" s="19" t="n">
        <f aca="false">IF(Cover!$C$9="Downside",D5,C5)</f>
        <v>0.88</v>
      </c>
      <c r="F5" s="1" t="s">
        <v>130</v>
      </c>
    </row>
    <row r="6" customFormat="false" ht="15" hidden="false" customHeight="true" outlineLevel="0" collapsed="false">
      <c r="B6" s="1" t="s">
        <v>131</v>
      </c>
      <c r="C6" s="17" t="n">
        <v>0.28</v>
      </c>
      <c r="D6" s="17" t="n">
        <v>0.32</v>
      </c>
      <c r="E6" s="19" t="n">
        <f aca="false">IF(Cover!$C$9="Downside",D6,C6)</f>
        <v>0.32</v>
      </c>
      <c r="F6" s="1" t="s">
        <v>130</v>
      </c>
    </row>
    <row r="7" customFormat="false" ht="15" hidden="false" customHeight="true" outlineLevel="0" collapsed="false">
      <c r="B7" s="1" t="s">
        <v>132</v>
      </c>
      <c r="C7" s="17" t="n">
        <v>0.05</v>
      </c>
      <c r="D7" s="17" t="n">
        <v>-0.05</v>
      </c>
      <c r="E7" s="19" t="n">
        <f aca="false">IF(Cover!$C$9="Downside",D7,C7)</f>
        <v>-0.05</v>
      </c>
      <c r="F7" s="1" t="s">
        <v>130</v>
      </c>
    </row>
    <row r="8" customFormat="false" ht="15" hidden="false" customHeight="true" outlineLevel="0" collapsed="false">
      <c r="B8" s="1" t="s">
        <v>133</v>
      </c>
      <c r="C8" s="17" t="n">
        <v>0.035</v>
      </c>
      <c r="D8" s="18" t="n">
        <v>0.12</v>
      </c>
      <c r="E8" s="19" t="n">
        <f aca="false">IF(Cover!$C$9="Downside",D8,C8)</f>
        <v>0.12</v>
      </c>
      <c r="F8" s="1" t="s">
        <v>130</v>
      </c>
    </row>
    <row r="9" customFormat="false" ht="15" hidden="false" customHeight="true" outlineLevel="0" collapsed="false">
      <c r="B9" s="1" t="s">
        <v>134</v>
      </c>
      <c r="C9" s="20" t="n">
        <v>0.045</v>
      </c>
      <c r="D9" s="20" t="n">
        <v>0.035</v>
      </c>
      <c r="E9" s="21" t="n">
        <f aca="false">IF(Cover!$C$9="Downside",D9,C9)</f>
        <v>0.035</v>
      </c>
      <c r="F9" s="1" t="s">
        <v>130</v>
      </c>
    </row>
    <row r="10" customFormat="false" ht="15" hidden="false" customHeight="true" outlineLevel="0" collapsed="false">
      <c r="B10" s="1" t="s">
        <v>135</v>
      </c>
      <c r="C10" s="17" t="n">
        <v>0.08</v>
      </c>
      <c r="D10" s="18" t="n">
        <v>0.22</v>
      </c>
      <c r="E10" s="19" t="n">
        <f aca="false">IF(Cover!$C$9="Downside",D10,C10)</f>
        <v>0.22</v>
      </c>
      <c r="F10" s="1" t="s">
        <v>130</v>
      </c>
    </row>
    <row r="11" customFormat="false" ht="15" hidden="false" customHeight="true" outlineLevel="0" collapsed="false">
      <c r="B11" s="1" t="s">
        <v>136</v>
      </c>
      <c r="C11" s="22" t="n">
        <v>500</v>
      </c>
      <c r="D11" s="22" t="n">
        <v>500</v>
      </c>
      <c r="E11" s="23" t="n">
        <f aca="false">IF(Cover!$C$9="Downside",D11,C11)</f>
        <v>500</v>
      </c>
      <c r="F11" s="1" t="s">
        <v>137</v>
      </c>
    </row>
    <row r="12" customFormat="false" ht="15" hidden="false" customHeight="true" outlineLevel="0" collapsed="false">
      <c r="B12" s="1" t="s">
        <v>138</v>
      </c>
      <c r="C12" s="22" t="n">
        <v>900</v>
      </c>
      <c r="D12" s="22" t="n">
        <v>900</v>
      </c>
      <c r="E12" s="23" t="n">
        <f aca="false">IF(Cover!$C$9="Downside",D12,C12)</f>
        <v>900</v>
      </c>
      <c r="F12" s="1" t="s">
        <v>137</v>
      </c>
    </row>
    <row r="13" customFormat="false" ht="15" hidden="false" customHeight="true" outlineLevel="0" collapsed="false">
      <c r="B13" s="1" t="s">
        <v>139</v>
      </c>
      <c r="C13" s="20" t="n">
        <v>0.04</v>
      </c>
      <c r="D13" s="20" t="n">
        <v>0.025</v>
      </c>
      <c r="E13" s="21" t="n">
        <f aca="false">IF(Cover!$C$9="Downside",D13,C13)</f>
        <v>0.025</v>
      </c>
      <c r="F13" s="1" t="s">
        <v>130</v>
      </c>
    </row>
    <row r="14" customFormat="false" ht="15" hidden="false" customHeight="true" outlineLevel="0" collapsed="false">
      <c r="B14" s="1" t="s">
        <v>140</v>
      </c>
      <c r="C14" s="22" t="n">
        <v>350</v>
      </c>
      <c r="D14" s="22" t="n">
        <v>350</v>
      </c>
      <c r="E14" s="23" t="n">
        <f aca="false">IF(Cover!$C$9="Downside",D14,C14)</f>
        <v>350</v>
      </c>
      <c r="F14" s="1" t="s">
        <v>137</v>
      </c>
    </row>
    <row r="15" customFormat="false" ht="15" hidden="false" customHeight="true" outlineLevel="0" collapsed="false">
      <c r="B15" s="1" t="s">
        <v>141</v>
      </c>
      <c r="C15" s="17" t="n">
        <v>0.18</v>
      </c>
      <c r="D15" s="17" t="n">
        <v>0.24</v>
      </c>
      <c r="E15" s="19" t="n">
        <f aca="false">IF(Cover!$C$9="Downside",D15,C15)</f>
        <v>0.24</v>
      </c>
      <c r="F15" s="1" t="s">
        <v>142</v>
      </c>
    </row>
    <row r="16" customFormat="false" ht="15" hidden="false" customHeight="true" outlineLevel="0" collapsed="false">
      <c r="B16" s="1" t="s">
        <v>143</v>
      </c>
      <c r="C16" s="17" t="n">
        <v>0.12</v>
      </c>
      <c r="D16" s="17" t="n">
        <v>0.18</v>
      </c>
      <c r="E16" s="19" t="n">
        <f aca="false">IF(Cover!$C$9="Downside",D16,C16)</f>
        <v>0.18</v>
      </c>
      <c r="F16" s="1" t="s">
        <v>144</v>
      </c>
    </row>
    <row r="17" customFormat="false" ht="15" hidden="false" customHeight="true" outlineLevel="0" collapsed="false">
      <c r="B17" s="1" t="s">
        <v>145</v>
      </c>
      <c r="C17" s="17" t="n">
        <v>0.08</v>
      </c>
      <c r="D17" s="18" t="n">
        <v>0.2</v>
      </c>
      <c r="E17" s="19" t="n">
        <f aca="false">IF(Cover!$C$9="Downside",D17,C17)</f>
        <v>0.2</v>
      </c>
      <c r="F17" s="1" t="s">
        <v>146</v>
      </c>
    </row>
    <row r="18" customFormat="false" ht="15" hidden="false" customHeight="true" outlineLevel="0" collapsed="false">
      <c r="B18" s="1" t="s">
        <v>147</v>
      </c>
      <c r="C18" s="24" t="n">
        <v>1.5</v>
      </c>
      <c r="D18" s="24" t="n">
        <v>1.5</v>
      </c>
      <c r="E18" s="25" t="n">
        <f aca="false">IF(Cover!$C$9="Downside",D18,C18)</f>
        <v>1.5</v>
      </c>
      <c r="F18" s="1" t="s">
        <v>148</v>
      </c>
    </row>
    <row r="19" customFormat="false" ht="15" hidden="false" customHeight="true" outlineLevel="0" collapsed="false">
      <c r="B19" s="1" t="s">
        <v>149</v>
      </c>
      <c r="C19" s="17" t="n">
        <v>0.1</v>
      </c>
      <c r="D19" s="17" t="n">
        <v>0.12</v>
      </c>
      <c r="E19" s="19" t="n">
        <f aca="false">IF(Cover!$C$9="Downside",D19,C19)</f>
        <v>0.12</v>
      </c>
      <c r="F19" s="1" t="s">
        <v>130</v>
      </c>
    </row>
    <row r="20" customFormat="false" ht="15" hidden="false" customHeight="true" outlineLevel="0" collapsed="false">
      <c r="B20" s="1" t="s">
        <v>150</v>
      </c>
      <c r="C20" s="26" t="n">
        <v>5</v>
      </c>
      <c r="D20" s="26" t="n">
        <v>5</v>
      </c>
      <c r="E20" s="27" t="n">
        <f aca="false">IF(Cover!$C$9="Downside",D20,C20)</f>
        <v>5</v>
      </c>
      <c r="F20" s="1" t="s">
        <v>151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6"/>
    <col collapsed="false" customWidth="true" hidden="false" outlineLevel="0" max="12" min="3" style="1" width="13"/>
  </cols>
  <sheetData>
    <row r="2" customFormat="false" ht="27.75" hidden="false" customHeight="true" outlineLevel="0" collapsed="false">
      <c r="B2" s="2" t="s">
        <v>152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true" outlineLevel="0" collapsed="false">
      <c r="B4" s="16" t="s">
        <v>153</v>
      </c>
      <c r="C4" s="16" t="s">
        <v>154</v>
      </c>
      <c r="D4" s="16" t="s">
        <v>155</v>
      </c>
      <c r="E4" s="16" t="s">
        <v>156</v>
      </c>
      <c r="F4" s="16" t="s">
        <v>157</v>
      </c>
      <c r="G4" s="16" t="s">
        <v>158</v>
      </c>
      <c r="H4" s="16" t="s">
        <v>159</v>
      </c>
      <c r="I4" s="16" t="s">
        <v>160</v>
      </c>
      <c r="J4" s="16" t="s">
        <v>161</v>
      </c>
      <c r="K4" s="16" t="s">
        <v>162</v>
      </c>
      <c r="L4" s="16" t="s">
        <v>163</v>
      </c>
    </row>
    <row r="5" customFormat="false" ht="15" hidden="false" customHeight="true" outlineLevel="0" collapsed="false">
      <c r="B5" s="1" t="n">
        <v>2017</v>
      </c>
      <c r="C5" s="22" t="n">
        <v>64.4</v>
      </c>
      <c r="D5" s="22" t="n">
        <v>110.4</v>
      </c>
      <c r="E5" s="22" t="n">
        <v>144.9</v>
      </c>
      <c r="F5" s="22" t="n">
        <v>167.9</v>
      </c>
      <c r="G5" s="22" t="n">
        <v>186.3</v>
      </c>
      <c r="H5" s="22" t="n">
        <v>200.1</v>
      </c>
      <c r="I5" s="22" t="n">
        <v>209.3</v>
      </c>
      <c r="J5" s="22" t="n">
        <v>216.2</v>
      </c>
      <c r="K5" s="22" t="n">
        <v>223.1</v>
      </c>
      <c r="L5" s="22" t="n">
        <v>230</v>
      </c>
    </row>
    <row r="6" customFormat="false" ht="15" hidden="false" customHeight="true" outlineLevel="0" collapsed="false">
      <c r="B6" s="1" t="n">
        <v>2018</v>
      </c>
      <c r="C6" s="22" t="n">
        <v>68.6</v>
      </c>
      <c r="D6" s="22" t="n">
        <v>117.6</v>
      </c>
      <c r="E6" s="22" t="n">
        <v>154.35</v>
      </c>
      <c r="F6" s="22" t="n">
        <v>178.85</v>
      </c>
      <c r="G6" s="22" t="n">
        <v>198.45</v>
      </c>
      <c r="H6" s="22" t="n">
        <v>213.15</v>
      </c>
      <c r="I6" s="22" t="n">
        <v>222.95</v>
      </c>
      <c r="J6" s="22" t="n">
        <v>230.3</v>
      </c>
      <c r="K6" s="22" t="n">
        <v>237.65</v>
      </c>
    </row>
    <row r="7" customFormat="false" ht="15" hidden="false" customHeight="true" outlineLevel="0" collapsed="false">
      <c r="B7" s="1" t="n">
        <v>2019</v>
      </c>
      <c r="C7" s="22" t="n">
        <v>71.4</v>
      </c>
      <c r="D7" s="22" t="n">
        <v>122.4</v>
      </c>
      <c r="E7" s="22" t="n">
        <v>160.65</v>
      </c>
      <c r="F7" s="22" t="n">
        <v>186.15</v>
      </c>
      <c r="G7" s="22" t="n">
        <v>206.55</v>
      </c>
      <c r="H7" s="22" t="n">
        <v>221.85</v>
      </c>
      <c r="I7" s="22" t="n">
        <v>232.05</v>
      </c>
      <c r="J7" s="22" t="n">
        <v>239.7</v>
      </c>
    </row>
    <row r="8" customFormat="false" ht="15" hidden="false" customHeight="true" outlineLevel="0" collapsed="false">
      <c r="B8" s="1" t="n">
        <v>2020</v>
      </c>
      <c r="C8" s="22" t="n">
        <v>75.6</v>
      </c>
      <c r="D8" s="22" t="n">
        <v>129.6</v>
      </c>
      <c r="E8" s="22" t="n">
        <v>170.1</v>
      </c>
      <c r="F8" s="22" t="n">
        <v>197.1</v>
      </c>
      <c r="G8" s="22" t="n">
        <v>218.7</v>
      </c>
      <c r="H8" s="22" t="n">
        <v>234.9</v>
      </c>
      <c r="I8" s="22" t="n">
        <v>245.7</v>
      </c>
    </row>
    <row r="9" customFormat="false" ht="15" hidden="false" customHeight="true" outlineLevel="0" collapsed="false">
      <c r="B9" s="1" t="n">
        <v>2021</v>
      </c>
      <c r="C9" s="22" t="n">
        <v>79.8</v>
      </c>
      <c r="D9" s="22" t="n">
        <v>136.8</v>
      </c>
      <c r="E9" s="22" t="n">
        <v>179.55</v>
      </c>
      <c r="F9" s="22" t="n">
        <v>208.05</v>
      </c>
      <c r="G9" s="22" t="n">
        <v>230.85</v>
      </c>
      <c r="H9" s="22" t="n">
        <v>247.95</v>
      </c>
    </row>
    <row r="10" customFormat="false" ht="15" hidden="false" customHeight="true" outlineLevel="0" collapsed="false">
      <c r="B10" s="1" t="n">
        <v>2022</v>
      </c>
      <c r="C10" s="22" t="n">
        <v>84</v>
      </c>
      <c r="D10" s="22" t="n">
        <v>144</v>
      </c>
      <c r="E10" s="22" t="n">
        <v>189</v>
      </c>
      <c r="F10" s="22" t="n">
        <v>219</v>
      </c>
      <c r="G10" s="22" t="n">
        <v>243</v>
      </c>
    </row>
    <row r="11" customFormat="false" ht="15" hidden="false" customHeight="true" outlineLevel="0" collapsed="false">
      <c r="B11" s="1" t="n">
        <v>2023</v>
      </c>
      <c r="C11" s="22" t="n">
        <v>89.6</v>
      </c>
      <c r="D11" s="22" t="n">
        <v>153.6</v>
      </c>
      <c r="E11" s="22" t="n">
        <v>201.6</v>
      </c>
      <c r="F11" s="22" t="n">
        <v>233.6</v>
      </c>
    </row>
    <row r="12" customFormat="false" ht="15" hidden="false" customHeight="true" outlineLevel="0" collapsed="false">
      <c r="B12" s="1" t="n">
        <v>2024</v>
      </c>
      <c r="C12" s="22" t="n">
        <v>93.8</v>
      </c>
      <c r="D12" s="22" t="n">
        <v>160.8</v>
      </c>
      <c r="E12" s="22" t="n">
        <v>211.05</v>
      </c>
    </row>
    <row r="13" customFormat="false" ht="15" hidden="false" customHeight="true" outlineLevel="0" collapsed="false">
      <c r="B13" s="1" t="n">
        <v>2025</v>
      </c>
      <c r="C13" s="22" t="n">
        <v>99.4</v>
      </c>
      <c r="D13" s="22" t="n">
        <v>170.4</v>
      </c>
    </row>
    <row r="14" customFormat="false" ht="15" hidden="false" customHeight="true" outlineLevel="0" collapsed="false">
      <c r="B14" s="1" t="n">
        <v>2026</v>
      </c>
      <c r="C14" s="22" t="n">
        <v>105</v>
      </c>
    </row>
  </sheetData>
  <mergeCells count="1">
    <mergeCell ref="B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14" min="3" style="1" width="13"/>
  </cols>
  <sheetData>
    <row r="2" customFormat="false" ht="27.75" hidden="false" customHeight="true" outlineLevel="0" collapsed="false">
      <c r="B2" s="2" t="s">
        <v>164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true" outlineLevel="0" collapsed="false">
      <c r="B4" s="16" t="s">
        <v>165</v>
      </c>
      <c r="C4" s="16" t="s">
        <v>154</v>
      </c>
      <c r="D4" s="16" t="s">
        <v>155</v>
      </c>
      <c r="E4" s="16" t="s">
        <v>156</v>
      </c>
      <c r="F4" s="16" t="s">
        <v>157</v>
      </c>
      <c r="G4" s="16" t="s">
        <v>158</v>
      </c>
      <c r="H4" s="16" t="s">
        <v>159</v>
      </c>
      <c r="I4" s="16" t="s">
        <v>160</v>
      </c>
      <c r="J4" s="16" t="s">
        <v>161</v>
      </c>
      <c r="K4" s="16" t="s">
        <v>162</v>
      </c>
      <c r="L4" s="16" t="s">
        <v>163</v>
      </c>
      <c r="M4" s="16" t="s">
        <v>166</v>
      </c>
      <c r="N4" s="16" t="s">
        <v>167</v>
      </c>
    </row>
    <row r="5" customFormat="false" ht="15" hidden="false" customHeight="true" outlineLevel="0" collapsed="false">
      <c r="B5" s="1" t="s">
        <v>168</v>
      </c>
      <c r="C5" s="28" t="n">
        <f aca="false">IFERROR(SUM('Paid Triangle'!D5:D13)/SUM('Paid Triangle'!C5:C13),1)</f>
        <v>1.71428571428571</v>
      </c>
      <c r="D5" s="28" t="n">
        <f aca="false">IFERROR(SUM('Paid Triangle'!E5:E12)/SUM('Paid Triangle'!D5:D12),1)</f>
        <v>1.3125</v>
      </c>
      <c r="E5" s="28" t="n">
        <f aca="false">IFERROR(SUM('Paid Triangle'!F5:F11)/SUM('Paid Triangle'!E5:E11),1)</f>
        <v>1.15873015873016</v>
      </c>
      <c r="F5" s="28" t="n">
        <f aca="false">IFERROR(SUM('Paid Triangle'!G5:G10)/SUM('Paid Triangle'!F5:F10),1)</f>
        <v>1.10958904109589</v>
      </c>
      <c r="G5" s="28" t="n">
        <f aca="false">IFERROR(SUM('Paid Triangle'!H5:H9)/SUM('Paid Triangle'!G5:G9),1)</f>
        <v>1.07407407407407</v>
      </c>
      <c r="H5" s="28" t="n">
        <f aca="false">IFERROR(SUM('Paid Triangle'!I5:I8)/SUM('Paid Triangle'!H5:H8),1)</f>
        <v>1.04597701149425</v>
      </c>
      <c r="I5" s="28" t="n">
        <f aca="false">IFERROR(SUM('Paid Triangle'!J5:J7)/SUM('Paid Triangle'!I5:I7),1)</f>
        <v>1.03296703296703</v>
      </c>
      <c r="J5" s="28" t="n">
        <f aca="false">IFERROR(SUM('Paid Triangle'!K5:K6)/SUM('Paid Triangle'!J5:J6),1)</f>
        <v>1.03191489361702</v>
      </c>
      <c r="K5" s="28" t="n">
        <f aca="false">IFERROR(SUM('Paid Triangle'!L5:L5)/SUM('Paid Triangle'!K5:K5),1)</f>
        <v>1.03092783505155</v>
      </c>
      <c r="L5" s="28" t="n">
        <v>1</v>
      </c>
    </row>
    <row r="6" customFormat="false" ht="15" hidden="false" customHeight="true" outlineLevel="0" collapsed="false">
      <c r="B6" s="1" t="s">
        <v>169</v>
      </c>
      <c r="C6" s="28" t="n">
        <f aca="false">PRODUCT(C$5:$K$5)</f>
        <v>3.57142857142857</v>
      </c>
      <c r="D6" s="28" t="n">
        <f aca="false">PRODUCT(D$5:$K$5)</f>
        <v>2.08333333333333</v>
      </c>
      <c r="E6" s="28" t="n">
        <f aca="false">PRODUCT(E$5:$K$5)</f>
        <v>1.58730158730159</v>
      </c>
      <c r="F6" s="28" t="n">
        <f aca="false">PRODUCT(F$5:$K$5)</f>
        <v>1.36986301369863</v>
      </c>
      <c r="G6" s="28" t="n">
        <f aca="false">PRODUCT(G$5:$K$5)</f>
        <v>1.23456790123457</v>
      </c>
      <c r="H6" s="28" t="n">
        <f aca="false">PRODUCT(H$5:$K$5)</f>
        <v>1.14942528735632</v>
      </c>
      <c r="I6" s="28" t="n">
        <f aca="false">PRODUCT(I$5:$K$5)</f>
        <v>1.0989010989011</v>
      </c>
      <c r="J6" s="28" t="n">
        <f aca="false">PRODUCT(J$5:$K$5)</f>
        <v>1.06382978723404</v>
      </c>
      <c r="K6" s="28" t="n">
        <f aca="false">PRODUCT(K$5:$K$5)</f>
        <v>1.03092783505155</v>
      </c>
      <c r="L6" s="28" t="n">
        <v>1</v>
      </c>
    </row>
    <row r="8" customFormat="false" ht="15" hidden="false" customHeight="true" outlineLevel="0" collapsed="false">
      <c r="B8" s="1" t="n">
        <f aca="false">'Paid Triangle'!B5</f>
        <v>2017</v>
      </c>
      <c r="C8" s="23" t="n">
        <f aca="false">'Paid Triangle'!C5</f>
        <v>64.4</v>
      </c>
      <c r="D8" s="23" t="n">
        <f aca="false">'Paid Triangle'!D5</f>
        <v>110.4</v>
      </c>
      <c r="E8" s="23" t="n">
        <f aca="false">'Paid Triangle'!E5</f>
        <v>144.9</v>
      </c>
      <c r="F8" s="23" t="n">
        <f aca="false">'Paid Triangle'!F5</f>
        <v>167.9</v>
      </c>
      <c r="G8" s="23" t="n">
        <f aca="false">'Paid Triangle'!G5</f>
        <v>186.3</v>
      </c>
      <c r="H8" s="23" t="n">
        <f aca="false">'Paid Triangle'!H5</f>
        <v>200.1</v>
      </c>
      <c r="I8" s="23" t="n">
        <f aca="false">'Paid Triangle'!I5</f>
        <v>209.3</v>
      </c>
      <c r="J8" s="23" t="n">
        <f aca="false">'Paid Triangle'!J5</f>
        <v>216.2</v>
      </c>
      <c r="K8" s="23" t="n">
        <f aca="false">'Paid Triangle'!K5</f>
        <v>223.1</v>
      </c>
      <c r="L8" s="23" t="n">
        <f aca="false">'Paid Triangle'!L5</f>
        <v>230</v>
      </c>
      <c r="M8" s="23" t="n">
        <f aca="false">'Paid Triangle'!L5*L$6</f>
        <v>230</v>
      </c>
      <c r="N8" s="23" t="n">
        <f aca="false">M8-'Paid Triangle'!L5</f>
        <v>0</v>
      </c>
    </row>
    <row r="9" customFormat="false" ht="15" hidden="false" customHeight="true" outlineLevel="0" collapsed="false">
      <c r="B9" s="1" t="n">
        <f aca="false">'Paid Triangle'!B6</f>
        <v>2018</v>
      </c>
      <c r="C9" s="23" t="n">
        <f aca="false">'Paid Triangle'!C6</f>
        <v>68.6</v>
      </c>
      <c r="D9" s="23" t="n">
        <f aca="false">'Paid Triangle'!D6</f>
        <v>117.6</v>
      </c>
      <c r="E9" s="23" t="n">
        <f aca="false">'Paid Triangle'!E6</f>
        <v>154.35</v>
      </c>
      <c r="F9" s="23" t="n">
        <f aca="false">'Paid Triangle'!F6</f>
        <v>178.85</v>
      </c>
      <c r="G9" s="23" t="n">
        <f aca="false">'Paid Triangle'!G6</f>
        <v>198.45</v>
      </c>
      <c r="H9" s="23" t="n">
        <f aca="false">'Paid Triangle'!H6</f>
        <v>213.15</v>
      </c>
      <c r="I9" s="23" t="n">
        <f aca="false">'Paid Triangle'!I6</f>
        <v>222.95</v>
      </c>
      <c r="J9" s="23" t="n">
        <f aca="false">'Paid Triangle'!J6</f>
        <v>230.3</v>
      </c>
      <c r="K9" s="23" t="n">
        <f aca="false">'Paid Triangle'!K6</f>
        <v>237.65</v>
      </c>
      <c r="M9" s="23" t="n">
        <f aca="false">'Paid Triangle'!K6*K$6</f>
        <v>245</v>
      </c>
      <c r="N9" s="23" t="n">
        <f aca="false">M9-'Paid Triangle'!K6</f>
        <v>7.35000000000002</v>
      </c>
    </row>
    <row r="10" customFormat="false" ht="15" hidden="false" customHeight="true" outlineLevel="0" collapsed="false">
      <c r="B10" s="1" t="n">
        <f aca="false">'Paid Triangle'!B7</f>
        <v>2019</v>
      </c>
      <c r="C10" s="23" t="n">
        <f aca="false">'Paid Triangle'!C7</f>
        <v>71.4</v>
      </c>
      <c r="D10" s="23" t="n">
        <f aca="false">'Paid Triangle'!D7</f>
        <v>122.4</v>
      </c>
      <c r="E10" s="23" t="n">
        <f aca="false">'Paid Triangle'!E7</f>
        <v>160.65</v>
      </c>
      <c r="F10" s="23" t="n">
        <f aca="false">'Paid Triangle'!F7</f>
        <v>186.15</v>
      </c>
      <c r="G10" s="23" t="n">
        <f aca="false">'Paid Triangle'!G7</f>
        <v>206.55</v>
      </c>
      <c r="H10" s="23" t="n">
        <f aca="false">'Paid Triangle'!H7</f>
        <v>221.85</v>
      </c>
      <c r="I10" s="23" t="n">
        <f aca="false">'Paid Triangle'!I7</f>
        <v>232.05</v>
      </c>
      <c r="J10" s="23" t="n">
        <f aca="false">'Paid Triangle'!J7</f>
        <v>239.7</v>
      </c>
      <c r="M10" s="23" t="n">
        <f aca="false">'Paid Triangle'!J7*J$6</f>
        <v>255</v>
      </c>
      <c r="N10" s="23" t="n">
        <f aca="false">M10-'Paid Triangle'!J7</f>
        <v>15.3</v>
      </c>
    </row>
    <row r="11" customFormat="false" ht="15" hidden="false" customHeight="true" outlineLevel="0" collapsed="false">
      <c r="B11" s="1" t="n">
        <f aca="false">'Paid Triangle'!B8</f>
        <v>2020</v>
      </c>
      <c r="C11" s="23" t="n">
        <f aca="false">'Paid Triangle'!C8</f>
        <v>75.6</v>
      </c>
      <c r="D11" s="23" t="n">
        <f aca="false">'Paid Triangle'!D8</f>
        <v>129.6</v>
      </c>
      <c r="E11" s="23" t="n">
        <f aca="false">'Paid Triangle'!E8</f>
        <v>170.1</v>
      </c>
      <c r="F11" s="23" t="n">
        <f aca="false">'Paid Triangle'!F8</f>
        <v>197.1</v>
      </c>
      <c r="G11" s="23" t="n">
        <f aca="false">'Paid Triangle'!G8</f>
        <v>218.7</v>
      </c>
      <c r="H11" s="23" t="n">
        <f aca="false">'Paid Triangle'!H8</f>
        <v>234.9</v>
      </c>
      <c r="I11" s="23" t="n">
        <f aca="false">'Paid Triangle'!I8</f>
        <v>245.7</v>
      </c>
      <c r="M11" s="23" t="n">
        <f aca="false">'Paid Triangle'!I8*I$6</f>
        <v>270</v>
      </c>
      <c r="N11" s="23" t="n">
        <f aca="false">M11-'Paid Triangle'!I8</f>
        <v>24.3</v>
      </c>
    </row>
    <row r="12" customFormat="false" ht="15" hidden="false" customHeight="true" outlineLevel="0" collapsed="false">
      <c r="B12" s="1" t="n">
        <f aca="false">'Paid Triangle'!B9</f>
        <v>2021</v>
      </c>
      <c r="C12" s="23" t="n">
        <f aca="false">'Paid Triangle'!C9</f>
        <v>79.8</v>
      </c>
      <c r="D12" s="23" t="n">
        <f aca="false">'Paid Triangle'!D9</f>
        <v>136.8</v>
      </c>
      <c r="E12" s="23" t="n">
        <f aca="false">'Paid Triangle'!E9</f>
        <v>179.55</v>
      </c>
      <c r="F12" s="23" t="n">
        <f aca="false">'Paid Triangle'!F9</f>
        <v>208.05</v>
      </c>
      <c r="G12" s="23" t="n">
        <f aca="false">'Paid Triangle'!G9</f>
        <v>230.85</v>
      </c>
      <c r="H12" s="23" t="n">
        <f aca="false">'Paid Triangle'!H9</f>
        <v>247.95</v>
      </c>
      <c r="M12" s="23" t="n">
        <f aca="false">'Paid Triangle'!H9*H$6</f>
        <v>285</v>
      </c>
      <c r="N12" s="23" t="n">
        <f aca="false">M12-'Paid Triangle'!H9</f>
        <v>37.05</v>
      </c>
    </row>
    <row r="13" customFormat="false" ht="15" hidden="false" customHeight="true" outlineLevel="0" collapsed="false">
      <c r="B13" s="1" t="n">
        <f aca="false">'Paid Triangle'!B10</f>
        <v>2022</v>
      </c>
      <c r="C13" s="23" t="n">
        <f aca="false">'Paid Triangle'!C10</f>
        <v>84</v>
      </c>
      <c r="D13" s="23" t="n">
        <f aca="false">'Paid Triangle'!D10</f>
        <v>144</v>
      </c>
      <c r="E13" s="23" t="n">
        <f aca="false">'Paid Triangle'!E10</f>
        <v>189</v>
      </c>
      <c r="F13" s="23" t="n">
        <f aca="false">'Paid Triangle'!F10</f>
        <v>219</v>
      </c>
      <c r="G13" s="23" t="n">
        <f aca="false">'Paid Triangle'!G10</f>
        <v>243</v>
      </c>
      <c r="M13" s="23" t="n">
        <f aca="false">'Paid Triangle'!G10*G$6</f>
        <v>300</v>
      </c>
      <c r="N13" s="23" t="n">
        <f aca="false">M13-'Paid Triangle'!G10</f>
        <v>57.0000000000001</v>
      </c>
    </row>
    <row r="14" customFormat="false" ht="15" hidden="false" customHeight="true" outlineLevel="0" collapsed="false">
      <c r="B14" s="1" t="n">
        <f aca="false">'Paid Triangle'!B11</f>
        <v>2023</v>
      </c>
      <c r="C14" s="23" t="n">
        <f aca="false">'Paid Triangle'!C11</f>
        <v>89.6</v>
      </c>
      <c r="D14" s="23" t="n">
        <f aca="false">'Paid Triangle'!D11</f>
        <v>153.6</v>
      </c>
      <c r="E14" s="23" t="n">
        <f aca="false">'Paid Triangle'!E11</f>
        <v>201.6</v>
      </c>
      <c r="F14" s="23" t="n">
        <f aca="false">'Paid Triangle'!F11</f>
        <v>233.6</v>
      </c>
      <c r="M14" s="23" t="n">
        <f aca="false">'Paid Triangle'!F11*F$6</f>
        <v>320</v>
      </c>
      <c r="N14" s="23" t="n">
        <f aca="false">M14-'Paid Triangle'!F11</f>
        <v>86.4000000000001</v>
      </c>
    </row>
    <row r="15" customFormat="false" ht="15" hidden="false" customHeight="true" outlineLevel="0" collapsed="false">
      <c r="B15" s="1" t="n">
        <f aca="false">'Paid Triangle'!B12</f>
        <v>2024</v>
      </c>
      <c r="C15" s="23" t="n">
        <f aca="false">'Paid Triangle'!C12</f>
        <v>93.8</v>
      </c>
      <c r="D15" s="23" t="n">
        <f aca="false">'Paid Triangle'!D12</f>
        <v>160.8</v>
      </c>
      <c r="E15" s="23" t="n">
        <f aca="false">'Paid Triangle'!E12</f>
        <v>211.05</v>
      </c>
      <c r="M15" s="23" t="n">
        <f aca="false">'Paid Triangle'!E12*E$6</f>
        <v>335</v>
      </c>
      <c r="N15" s="23" t="n">
        <f aca="false">M15-'Paid Triangle'!E12</f>
        <v>123.95</v>
      </c>
    </row>
    <row r="16" customFormat="false" ht="15" hidden="false" customHeight="true" outlineLevel="0" collapsed="false">
      <c r="B16" s="1" t="n">
        <f aca="false">'Paid Triangle'!B13</f>
        <v>2025</v>
      </c>
      <c r="C16" s="23" t="n">
        <f aca="false">'Paid Triangle'!C13</f>
        <v>99.4</v>
      </c>
      <c r="D16" s="23" t="n">
        <f aca="false">'Paid Triangle'!D13</f>
        <v>170.4</v>
      </c>
      <c r="M16" s="23" t="n">
        <f aca="false">'Paid Triangle'!D13*D$6</f>
        <v>355</v>
      </c>
      <c r="N16" s="23" t="n">
        <f aca="false">M16-'Paid Triangle'!D13</f>
        <v>184.6</v>
      </c>
    </row>
    <row r="17" customFormat="false" ht="15" hidden="false" customHeight="true" outlineLevel="0" collapsed="false">
      <c r="B17" s="1" t="n">
        <f aca="false">'Paid Triangle'!B14</f>
        <v>2026</v>
      </c>
      <c r="C17" s="23" t="n">
        <f aca="false">'Paid Triangle'!C14</f>
        <v>105</v>
      </c>
      <c r="M17" s="23" t="n">
        <f aca="false">'Paid Triangle'!C14*C$6</f>
        <v>375</v>
      </c>
      <c r="N17" s="23" t="n">
        <f aca="false">M17-'Paid Triangle'!C14</f>
        <v>270</v>
      </c>
    </row>
    <row r="18" customFormat="false" ht="15" hidden="false" customHeight="true" outlineLevel="0" collapsed="false">
      <c r="B18" s="29" t="s">
        <v>170</v>
      </c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 t="n">
        <f aca="false">SUM(M8:M17)</f>
        <v>2970</v>
      </c>
      <c r="N18" s="30" t="n">
        <f aca="false">SUM(N8:N17)</f>
        <v>805.950000000001</v>
      </c>
    </row>
  </sheetData>
  <mergeCells count="1">
    <mergeCell ref="B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6"/>
    <col collapsed="false" customWidth="true" hidden="false" outlineLevel="0" max="4" min="3" style="1" width="18"/>
    <col collapsed="false" customWidth="true" hidden="false" outlineLevel="0" max="5" min="5" style="1" width="14"/>
    <col collapsed="false" customWidth="true" hidden="false" outlineLevel="0" max="8" min="6" style="1" width="18"/>
  </cols>
  <sheetData>
    <row r="2" customFormat="false" ht="27.75" hidden="false" customHeight="true" outlineLevel="0" collapsed="false">
      <c r="B2" s="2" t="s">
        <v>171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16" t="s">
        <v>153</v>
      </c>
      <c r="C4" s="16" t="s">
        <v>172</v>
      </c>
      <c r="D4" s="16" t="s">
        <v>173</v>
      </c>
      <c r="E4" s="16" t="s">
        <v>174</v>
      </c>
      <c r="F4" s="16" t="s">
        <v>175</v>
      </c>
      <c r="G4" s="16" t="s">
        <v>176</v>
      </c>
      <c r="H4" s="16" t="s">
        <v>177</v>
      </c>
    </row>
    <row r="5" customFormat="false" ht="15" hidden="false" customHeight="true" outlineLevel="0" collapsed="false">
      <c r="B5" s="1" t="n">
        <f aca="false">'Chain Ladder'!B8</f>
        <v>2017</v>
      </c>
      <c r="C5" s="22" t="n">
        <v>400</v>
      </c>
      <c r="D5" s="23" t="n">
        <f aca="false">C5*Assumptions!$E$5*(1+Assumptions!$E$8)^0</f>
        <v>352</v>
      </c>
      <c r="E5" s="21" t="n">
        <f aca="false">1/'Chain Ladder'!L$6</f>
        <v>1</v>
      </c>
      <c r="F5" s="23" t="n">
        <f aca="false">'Paid Triangle'!L5</f>
        <v>230</v>
      </c>
      <c r="G5" s="23" t="n">
        <f aca="false">F5+D5*(1-E5)</f>
        <v>230</v>
      </c>
      <c r="H5" s="23" t="n">
        <f aca="false">G5-F5</f>
        <v>0</v>
      </c>
    </row>
    <row r="6" customFormat="false" ht="15" hidden="false" customHeight="true" outlineLevel="0" collapsed="false">
      <c r="B6" s="1" t="n">
        <f aca="false">'Chain Ladder'!B9</f>
        <v>2018</v>
      </c>
      <c r="C6" s="22" t="n">
        <v>425</v>
      </c>
      <c r="D6" s="23" t="n">
        <f aca="false">C6*Assumptions!$E$5*(1+Assumptions!$E$8)^1</f>
        <v>418.88</v>
      </c>
      <c r="E6" s="21" t="n">
        <f aca="false">1/'Chain Ladder'!K$6</f>
        <v>0.97</v>
      </c>
      <c r="F6" s="23" t="n">
        <f aca="false">'Paid Triangle'!K6</f>
        <v>237.65</v>
      </c>
      <c r="G6" s="23" t="n">
        <f aca="false">F6+D6*(1-E6)</f>
        <v>250.2164</v>
      </c>
      <c r="H6" s="23" t="n">
        <f aca="false">G6-F6</f>
        <v>12.5664000000001</v>
      </c>
    </row>
    <row r="7" customFormat="false" ht="15" hidden="false" customHeight="true" outlineLevel="0" collapsed="false">
      <c r="B7" s="1" t="n">
        <f aca="false">'Chain Ladder'!B10</f>
        <v>2019</v>
      </c>
      <c r="C7" s="22" t="n">
        <v>450</v>
      </c>
      <c r="D7" s="23" t="n">
        <f aca="false">C7*Assumptions!$E$5*(1+Assumptions!$E$8)^2</f>
        <v>496.7424</v>
      </c>
      <c r="E7" s="21" t="n">
        <f aca="false">1/'Chain Ladder'!J$6</f>
        <v>0.94</v>
      </c>
      <c r="F7" s="23" t="n">
        <f aca="false">'Paid Triangle'!J7</f>
        <v>239.7</v>
      </c>
      <c r="G7" s="23" t="n">
        <f aca="false">F7+D7*(1-E7)</f>
        <v>269.504544</v>
      </c>
      <c r="H7" s="23" t="n">
        <f aca="false">G7-F7</f>
        <v>29.8045440000001</v>
      </c>
    </row>
    <row r="8" customFormat="false" ht="15" hidden="false" customHeight="true" outlineLevel="0" collapsed="false">
      <c r="B8" s="1" t="n">
        <f aca="false">'Chain Ladder'!B11</f>
        <v>2020</v>
      </c>
      <c r="C8" s="22" t="n">
        <v>475</v>
      </c>
      <c r="D8" s="23" t="n">
        <f aca="false">C8*Assumptions!$E$5*(1+Assumptions!$E$8)^3</f>
        <v>587.259904</v>
      </c>
      <c r="E8" s="21" t="n">
        <f aca="false">1/'Chain Ladder'!I$6</f>
        <v>0.91</v>
      </c>
      <c r="F8" s="23" t="n">
        <f aca="false">'Paid Triangle'!I8</f>
        <v>245.7</v>
      </c>
      <c r="G8" s="23" t="n">
        <f aca="false">F8+D8*(1-E8)</f>
        <v>298.55339136</v>
      </c>
      <c r="H8" s="23" t="n">
        <f aca="false">G8-F8</f>
        <v>52.85339136</v>
      </c>
    </row>
    <row r="9" customFormat="false" ht="15" hidden="false" customHeight="true" outlineLevel="0" collapsed="false">
      <c r="B9" s="1" t="n">
        <f aca="false">'Chain Ladder'!B12</f>
        <v>2021</v>
      </c>
      <c r="C9" s="22" t="n">
        <v>500</v>
      </c>
      <c r="D9" s="23" t="n">
        <f aca="false">C9*Assumptions!$E$5*(1+Assumptions!$E$8)^4</f>
        <v>692.3485184</v>
      </c>
      <c r="E9" s="21" t="n">
        <f aca="false">1/'Chain Ladder'!H$6</f>
        <v>0.87</v>
      </c>
      <c r="F9" s="23" t="n">
        <f aca="false">'Paid Triangle'!H9</f>
        <v>247.95</v>
      </c>
      <c r="G9" s="23" t="n">
        <f aca="false">F9+D9*(1-E9)</f>
        <v>337.955307392</v>
      </c>
      <c r="H9" s="23" t="n">
        <f aca="false">G9-F9</f>
        <v>90.0053073920001</v>
      </c>
    </row>
    <row r="10" customFormat="false" ht="15" hidden="false" customHeight="true" outlineLevel="0" collapsed="false">
      <c r="B10" s="1" t="n">
        <f aca="false">'Chain Ladder'!B13</f>
        <v>2022</v>
      </c>
      <c r="C10" s="22" t="n">
        <v>525</v>
      </c>
      <c r="D10" s="23" t="n">
        <f aca="false">C10*Assumptions!$E$5*(1+Assumptions!$E$8)^5</f>
        <v>814.2018576384</v>
      </c>
      <c r="E10" s="21" t="n">
        <f aca="false">1/'Chain Ladder'!G$6</f>
        <v>0.81</v>
      </c>
      <c r="F10" s="23" t="n">
        <f aca="false">'Paid Triangle'!G10</f>
        <v>243</v>
      </c>
      <c r="G10" s="23" t="n">
        <f aca="false">F10+D10*(1-E10)</f>
        <v>397.698352951296</v>
      </c>
      <c r="H10" s="23" t="n">
        <f aca="false">G10-F10</f>
        <v>154.698352951296</v>
      </c>
    </row>
    <row r="11" customFormat="false" ht="15" hidden="false" customHeight="true" outlineLevel="0" collapsed="false">
      <c r="B11" s="1" t="n">
        <f aca="false">'Chain Ladder'!B14</f>
        <v>2023</v>
      </c>
      <c r="C11" s="22" t="n">
        <v>550</v>
      </c>
      <c r="D11" s="23" t="n">
        <f aca="false">C11*Assumptions!$E$5*(1+Assumptions!$E$8)^6</f>
        <v>955.330179629057</v>
      </c>
      <c r="E11" s="21" t="n">
        <f aca="false">1/'Chain Ladder'!F$6</f>
        <v>0.73</v>
      </c>
      <c r="F11" s="23" t="n">
        <f aca="false">'Paid Triangle'!F11</f>
        <v>233.6</v>
      </c>
      <c r="G11" s="23" t="n">
        <f aca="false">F11+D11*(1-E11)</f>
        <v>491.539148499846</v>
      </c>
      <c r="H11" s="23" t="n">
        <f aca="false">G11-F11</f>
        <v>257.939148499846</v>
      </c>
    </row>
    <row r="12" customFormat="false" ht="15" hidden="false" customHeight="true" outlineLevel="0" collapsed="false">
      <c r="B12" s="1" t="n">
        <f aca="false">'Chain Ladder'!B15</f>
        <v>2024</v>
      </c>
      <c r="C12" s="22" t="n">
        <v>575</v>
      </c>
      <c r="D12" s="23" t="n">
        <f aca="false">C12*Assumptions!$E$5*(1+Assumptions!$E$8)^7</f>
        <v>1118.60479214748</v>
      </c>
      <c r="E12" s="21" t="n">
        <f aca="false">1/'Chain Ladder'!E$6</f>
        <v>0.63</v>
      </c>
      <c r="F12" s="23" t="n">
        <f aca="false">'Paid Triangle'!E12</f>
        <v>211.05</v>
      </c>
      <c r="G12" s="23" t="n">
        <f aca="false">F12+D12*(1-E12)</f>
        <v>624.933773094567</v>
      </c>
      <c r="H12" s="23" t="n">
        <f aca="false">G12-F12</f>
        <v>413.883773094567</v>
      </c>
    </row>
    <row r="13" customFormat="false" ht="15" hidden="false" customHeight="true" outlineLevel="0" collapsed="false">
      <c r="B13" s="1" t="n">
        <f aca="false">'Chain Ladder'!B16</f>
        <v>2025</v>
      </c>
      <c r="C13" s="22" t="n">
        <v>600</v>
      </c>
      <c r="D13" s="23" t="n">
        <f aca="false">C13*Assumptions!$E$5*(1+Assumptions!$E$8)^8</f>
        <v>1307.30855708366</v>
      </c>
      <c r="E13" s="21" t="n">
        <f aca="false">1/'Chain Ladder'!D$6</f>
        <v>0.48</v>
      </c>
      <c r="F13" s="23" t="n">
        <f aca="false">'Paid Triangle'!D13</f>
        <v>170.4</v>
      </c>
      <c r="G13" s="23" t="n">
        <f aca="false">F13+D13*(1-E13)</f>
        <v>850.200449683504</v>
      </c>
      <c r="H13" s="23" t="n">
        <f aca="false">G13-F13</f>
        <v>679.800449683504</v>
      </c>
    </row>
    <row r="14" customFormat="false" ht="15" hidden="false" customHeight="true" outlineLevel="0" collapsed="false">
      <c r="B14" s="1" t="n">
        <f aca="false">'Chain Ladder'!B17</f>
        <v>2026</v>
      </c>
      <c r="C14" s="22" t="n">
        <v>625</v>
      </c>
      <c r="D14" s="23" t="n">
        <f aca="false">C14*Assumptions!$E$5*(1+Assumptions!$E$8)^9</f>
        <v>1525.1933165976</v>
      </c>
      <c r="E14" s="21" t="n">
        <f aca="false">1/'Chain Ladder'!C$6</f>
        <v>0.28</v>
      </c>
      <c r="F14" s="23" t="n">
        <f aca="false">'Paid Triangle'!C14</f>
        <v>105</v>
      </c>
      <c r="G14" s="23" t="n">
        <f aca="false">F14+D14*(1-E14)</f>
        <v>1203.13918795027</v>
      </c>
      <c r="H14" s="23" t="n">
        <f aca="false">G14-F14</f>
        <v>1098.13918795027</v>
      </c>
    </row>
    <row r="15" customFormat="false" ht="15" hidden="false" customHeight="true" outlineLevel="0" collapsed="false">
      <c r="B15" s="29" t="s">
        <v>170</v>
      </c>
      <c r="C15" s="30" t="n">
        <f aca="false">SUM(C5:C14)</f>
        <v>5125</v>
      </c>
      <c r="D15" s="30" t="n">
        <f aca="false">SUM(D5:D14)</f>
        <v>8267.8695254962</v>
      </c>
      <c r="E15" s="30"/>
      <c r="F15" s="30" t="n">
        <f aca="false">SUM(F5:F14)</f>
        <v>2164.05</v>
      </c>
      <c r="G15" s="30" t="n">
        <f aca="false">SUM(G5:G14)</f>
        <v>4953.74055493149</v>
      </c>
      <c r="H15" s="30" t="n">
        <f aca="false">SUM(H5:H14)</f>
        <v>2789.69055493149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7" min="3" style="1" width="15"/>
  </cols>
  <sheetData>
    <row r="2" customFormat="false" ht="27.75" hidden="false" customHeight="true" outlineLevel="0" collapsed="false">
      <c r="B2" s="2" t="s">
        <v>178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179</v>
      </c>
      <c r="C4" s="16" t="s">
        <v>180</v>
      </c>
      <c r="D4" s="16" t="s">
        <v>181</v>
      </c>
      <c r="E4" s="16" t="s">
        <v>182</v>
      </c>
      <c r="F4" s="16" t="s">
        <v>183</v>
      </c>
      <c r="G4" s="16" t="s">
        <v>184</v>
      </c>
    </row>
    <row r="5" customFormat="false" ht="15" hidden="false" customHeight="true" outlineLevel="0" collapsed="false">
      <c r="B5" s="1" t="s">
        <v>172</v>
      </c>
      <c r="C5" s="23" t="n">
        <f aca="false">Assumptions!E11</f>
        <v>500</v>
      </c>
      <c r="D5" s="23" t="n">
        <f aca="false">C5*(1+Assumptions!$E$7)</f>
        <v>475</v>
      </c>
      <c r="E5" s="23" t="n">
        <f aca="false">D5*(1+Assumptions!$E$7)</f>
        <v>451.25</v>
      </c>
      <c r="F5" s="23" t="n">
        <f aca="false">E5*(1+Assumptions!$E$7)</f>
        <v>428.6875</v>
      </c>
      <c r="G5" s="23" t="n">
        <f aca="false">F5*(1+Assumptions!$E$7)</f>
        <v>407.253125</v>
      </c>
    </row>
    <row r="6" customFormat="false" ht="15" hidden="false" customHeight="true" outlineLevel="0" collapsed="false">
      <c r="B6" s="1" t="s">
        <v>185</v>
      </c>
      <c r="C6" s="23" t="n">
        <f aca="false">C5*Assumptions!$E$5*(1+Assumptions!$E$8)^0</f>
        <v>440</v>
      </c>
      <c r="D6" s="23" t="n">
        <f aca="false">D5*Assumptions!$E$5*(1+Assumptions!$E$8)^1</f>
        <v>468.16</v>
      </c>
      <c r="E6" s="23" t="n">
        <f aca="false">E5*Assumptions!$E$5*(1+Assumptions!$E$8)^2</f>
        <v>498.12224</v>
      </c>
      <c r="F6" s="23" t="n">
        <f aca="false">F5*Assumptions!$E$5*(1+Assumptions!$E$8)^3</f>
        <v>530.00206336</v>
      </c>
      <c r="G6" s="23" t="n">
        <f aca="false">G5*Assumptions!$E$5*(1+Assumptions!$E$8)^4</f>
        <v>563.92219541504</v>
      </c>
    </row>
    <row r="7" customFormat="false" ht="15" hidden="false" customHeight="true" outlineLevel="0" collapsed="false">
      <c r="B7" s="1" t="s">
        <v>186</v>
      </c>
      <c r="C7" s="23" t="n">
        <f aca="false">C5*Assumptions!$E$6</f>
        <v>160</v>
      </c>
      <c r="D7" s="23" t="n">
        <f aca="false">D5*Assumptions!$E$6</f>
        <v>152</v>
      </c>
      <c r="E7" s="23" t="n">
        <f aca="false">E5*Assumptions!$E$6</f>
        <v>144.4</v>
      </c>
      <c r="F7" s="23" t="n">
        <f aca="false">F5*Assumptions!$E$6</f>
        <v>137.18</v>
      </c>
      <c r="G7" s="23" t="n">
        <f aca="false">G5*Assumptions!$E$6</f>
        <v>130.321</v>
      </c>
    </row>
    <row r="8" customFormat="false" ht="15" hidden="false" customHeight="true" outlineLevel="0" collapsed="false">
      <c r="B8" s="29" t="s">
        <v>187</v>
      </c>
      <c r="C8" s="30" t="n">
        <f aca="false">C5-C6-C7</f>
        <v>-100</v>
      </c>
      <c r="D8" s="30" t="n">
        <f aca="false">D5-D6-D7</f>
        <v>-145.16</v>
      </c>
      <c r="E8" s="30" t="n">
        <f aca="false">E5-E6-E7</f>
        <v>-191.27224</v>
      </c>
      <c r="F8" s="30" t="n">
        <f aca="false">F5-F6-F7</f>
        <v>-238.49456336</v>
      </c>
      <c r="G8" s="30" t="n">
        <f aca="false">G5-G6-G7</f>
        <v>-286.99007041504</v>
      </c>
    </row>
    <row r="9" customFormat="false" ht="15" hidden="false" customHeight="true" outlineLevel="0" collapsed="false">
      <c r="B9" s="1" t="s">
        <v>188</v>
      </c>
      <c r="C9" s="21" t="n">
        <f aca="false">IFERROR(C6/C5,0)</f>
        <v>0.88</v>
      </c>
      <c r="D9" s="21" t="n">
        <f aca="false">IFERROR(D6/D5,0)</f>
        <v>0.9856</v>
      </c>
      <c r="E9" s="21" t="n">
        <f aca="false">IFERROR(E6/E5,0)</f>
        <v>1.103872</v>
      </c>
      <c r="F9" s="21" t="n">
        <f aca="false">IFERROR(F6/F5,0)</f>
        <v>1.23633664</v>
      </c>
      <c r="G9" s="21" t="n">
        <f aca="false">IFERROR(G6/G5,0)</f>
        <v>1.3846970368</v>
      </c>
    </row>
    <row r="10" customFormat="false" ht="15" hidden="false" customHeight="true" outlineLevel="0" collapsed="false">
      <c r="B10" s="1" t="s">
        <v>131</v>
      </c>
      <c r="C10" s="21" t="n">
        <f aca="false">IFERROR(C7/C5,0)</f>
        <v>0.32</v>
      </c>
      <c r="D10" s="21" t="n">
        <f aca="false">IFERROR(D7/D5,0)</f>
        <v>0.32</v>
      </c>
      <c r="E10" s="21" t="n">
        <f aca="false">IFERROR(E7/E5,0)</f>
        <v>0.32</v>
      </c>
      <c r="F10" s="21" t="n">
        <f aca="false">IFERROR(F7/F5,0)</f>
        <v>0.32</v>
      </c>
      <c r="G10" s="21" t="n">
        <f aca="false">IFERROR(G7/G5,0)</f>
        <v>0.32</v>
      </c>
    </row>
    <row r="11" customFormat="false" ht="15" hidden="false" customHeight="true" outlineLevel="0" collapsed="false">
      <c r="B11" s="1" t="s">
        <v>189</v>
      </c>
      <c r="C11" s="21" t="n">
        <f aca="false">C9+C10</f>
        <v>1.2</v>
      </c>
      <c r="D11" s="21" t="n">
        <f aca="false">D9+D10</f>
        <v>1.3056</v>
      </c>
      <c r="E11" s="21" t="n">
        <f aca="false">E9+E10</f>
        <v>1.423872</v>
      </c>
      <c r="F11" s="21" t="n">
        <f aca="false">F9+F10</f>
        <v>1.55633664</v>
      </c>
      <c r="G11" s="21" t="n">
        <f aca="false">G9+G10</f>
        <v>1.7046970368</v>
      </c>
    </row>
    <row r="12" customFormat="false" ht="15" hidden="false" customHeight="true" outlineLevel="0" collapsed="false">
      <c r="B12" s="1" t="s">
        <v>190</v>
      </c>
      <c r="C12" s="23" t="n">
        <f aca="false">Assumptions!$E$12*Assumptions!$E$13</f>
        <v>22.5</v>
      </c>
      <c r="D12" s="23" t="n">
        <f aca="false">Assumptions!$E$12*Assumptions!$E$13</f>
        <v>22.5</v>
      </c>
      <c r="E12" s="23" t="n">
        <f aca="false">Assumptions!$E$12*Assumptions!$E$13</f>
        <v>22.5</v>
      </c>
      <c r="F12" s="23" t="n">
        <f aca="false">Assumptions!$E$12*Assumptions!$E$13</f>
        <v>22.5</v>
      </c>
      <c r="G12" s="23" t="n">
        <f aca="false">Assumptions!$E$12*Assumptions!$E$13</f>
        <v>22.5</v>
      </c>
    </row>
    <row r="13" customFormat="false" ht="15" hidden="false" customHeight="true" outlineLevel="0" collapsed="false">
      <c r="B13" s="29" t="s">
        <v>191</v>
      </c>
      <c r="C13" s="30" t="n">
        <f aca="false">C8+C12</f>
        <v>-77.5</v>
      </c>
      <c r="D13" s="30" t="n">
        <f aca="false">D8+D12</f>
        <v>-122.66</v>
      </c>
      <c r="E13" s="30" t="n">
        <f aca="false">E8+E12</f>
        <v>-168.77224</v>
      </c>
      <c r="F13" s="30" t="n">
        <f aca="false">F8+F12</f>
        <v>-215.99456336</v>
      </c>
      <c r="G13" s="30" t="n">
        <f aca="false">G8+G12</f>
        <v>-264.49007041504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7" min="3" style="1" width="15"/>
  </cols>
  <sheetData>
    <row r="2" customFormat="false" ht="27.75" hidden="false" customHeight="true" outlineLevel="0" collapsed="false">
      <c r="B2" s="2" t="s">
        <v>192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165</v>
      </c>
      <c r="C4" s="16" t="s">
        <v>180</v>
      </c>
      <c r="D4" s="16" t="s">
        <v>181</v>
      </c>
      <c r="E4" s="16" t="s">
        <v>182</v>
      </c>
      <c r="F4" s="16" t="s">
        <v>183</v>
      </c>
      <c r="G4" s="16" t="s">
        <v>184</v>
      </c>
    </row>
    <row r="5" customFormat="false" ht="15" hidden="false" customHeight="true" outlineLevel="0" collapsed="false">
      <c r="B5" s="1" t="s">
        <v>191</v>
      </c>
      <c r="C5" s="23" t="n">
        <f aca="false">Underwriting!C13</f>
        <v>-77.5</v>
      </c>
      <c r="D5" s="23" t="n">
        <f aca="false">Underwriting!D13</f>
        <v>-122.66</v>
      </c>
      <c r="E5" s="23" t="n">
        <f aca="false">Underwriting!E13</f>
        <v>-168.77224</v>
      </c>
      <c r="F5" s="23" t="n">
        <f aca="false">Underwriting!F13</f>
        <v>-215.99456336</v>
      </c>
      <c r="G5" s="23" t="n">
        <f aca="false">Underwriting!G13</f>
        <v>-264.49007041504</v>
      </c>
    </row>
    <row r="6" customFormat="false" ht="15" hidden="false" customHeight="true" outlineLevel="0" collapsed="false">
      <c r="B6" s="1" t="s">
        <v>193</v>
      </c>
      <c r="C6" s="23" t="n">
        <f aca="false">MAX(0,C5*0.25)</f>
        <v>0</v>
      </c>
      <c r="D6" s="23" t="n">
        <f aca="false">MAX(0,D5*0.25)</f>
        <v>0</v>
      </c>
      <c r="E6" s="23" t="n">
        <f aca="false">MAX(0,E5*0.25)</f>
        <v>0</v>
      </c>
      <c r="F6" s="23" t="n">
        <f aca="false">MAX(0,F5*0.25)</f>
        <v>0</v>
      </c>
      <c r="G6" s="23" t="n">
        <f aca="false">MAX(0,G5*0.25)</f>
        <v>0</v>
      </c>
    </row>
    <row r="7" customFormat="false" ht="15" hidden="false" customHeight="true" outlineLevel="0" collapsed="false">
      <c r="B7" s="1" t="s">
        <v>194</v>
      </c>
      <c r="C7" s="23" t="n">
        <f aca="false">C5-C6</f>
        <v>-77.5</v>
      </c>
      <c r="D7" s="23" t="n">
        <f aca="false">D5-D6</f>
        <v>-122.66</v>
      </c>
      <c r="E7" s="23" t="n">
        <f aca="false">E5-E6</f>
        <v>-168.77224</v>
      </c>
      <c r="F7" s="23" t="n">
        <f aca="false">F5-F6</f>
        <v>-215.99456336</v>
      </c>
      <c r="G7" s="23" t="n">
        <f aca="false">G5-G6</f>
        <v>-264.49007041504</v>
      </c>
    </row>
    <row r="8" customFormat="false" ht="15" hidden="false" customHeight="true" outlineLevel="0" collapsed="false">
      <c r="B8" s="1" t="s">
        <v>195</v>
      </c>
      <c r="C8" s="23" t="n">
        <f aca="false">'Bornhuetter-Ferguson'!$H$15*Assumptions!$E$10*Assumptions!$E$19</f>
        <v>73.6478306501913</v>
      </c>
      <c r="D8" s="23" t="n">
        <f aca="false">'Bornhuetter-Ferguson'!$H$15*Assumptions!$E$10*Assumptions!$E$19</f>
        <v>73.6478306501913</v>
      </c>
      <c r="E8" s="23" t="n">
        <f aca="false">'Bornhuetter-Ferguson'!$H$15*Assumptions!$E$10*Assumptions!$E$19</f>
        <v>73.6478306501913</v>
      </c>
      <c r="F8" s="23" t="n">
        <f aca="false">'Bornhuetter-Ferguson'!$H$15*Assumptions!$E$10*Assumptions!$E$19</f>
        <v>73.6478306501913</v>
      </c>
      <c r="G8" s="23" t="n">
        <f aca="false">'Bornhuetter-Ferguson'!$H$15*Assumptions!$E$10*Assumptions!$E$19</f>
        <v>73.6478306501913</v>
      </c>
    </row>
    <row r="9" customFormat="false" ht="15" hidden="false" customHeight="true" outlineLevel="0" collapsed="false">
      <c r="B9" s="1" t="s">
        <v>196</v>
      </c>
      <c r="C9" s="23" t="n">
        <f aca="false">C7-C8</f>
        <v>-151.147830650191</v>
      </c>
      <c r="D9" s="23" t="n">
        <f aca="false">D7-D8</f>
        <v>-196.307830650191</v>
      </c>
      <c r="E9" s="23" t="n">
        <f aca="false">E7-E8</f>
        <v>-242.420070650191</v>
      </c>
      <c r="F9" s="23" t="n">
        <f aca="false">F7-F8</f>
        <v>-289.642394010192</v>
      </c>
      <c r="G9" s="23" t="n">
        <f aca="false">G7-G8</f>
        <v>-338.137901065232</v>
      </c>
    </row>
    <row r="10" customFormat="false" ht="15" hidden="false" customHeight="true" outlineLevel="0" collapsed="false">
      <c r="B10" s="1" t="s">
        <v>197</v>
      </c>
      <c r="C10" s="31" t="n">
        <f aca="false">1/(1+Assumptions!$E$9)^1</f>
        <v>0.966183574879227</v>
      </c>
      <c r="D10" s="31" t="n">
        <f aca="false">1/(1+Assumptions!$E$9)^2</f>
        <v>0.933510700366403</v>
      </c>
      <c r="E10" s="31" t="n">
        <f aca="false">1/(1+Assumptions!$E$9)^3</f>
        <v>0.901942705668022</v>
      </c>
      <c r="F10" s="31" t="n">
        <f aca="false">1/(1+Assumptions!$E$9)^4</f>
        <v>0.871442227698572</v>
      </c>
      <c r="G10" s="31" t="n">
        <f aca="false">1/(1+Assumptions!$E$9)^5</f>
        <v>0.841973166858524</v>
      </c>
    </row>
    <row r="11" customFormat="false" ht="15" hidden="false" customHeight="true" outlineLevel="0" collapsed="false">
      <c r="B11" s="1" t="s">
        <v>198</v>
      </c>
      <c r="C11" s="23" t="n">
        <f aca="false">C9*C10</f>
        <v>-146.036551352842</v>
      </c>
      <c r="D11" s="23" t="n">
        <f aca="false">D9*D10</f>
        <v>-183.255460477669</v>
      </c>
      <c r="E11" s="23" t="n">
        <f aca="false">E9*E10</f>
        <v>-218.649014430467</v>
      </c>
      <c r="F11" s="23" t="n">
        <f aca="false">F9*F10</f>
        <v>-252.406613072189</v>
      </c>
      <c r="G11" s="23" t="n">
        <f aca="false">G9*G10</f>
        <v>-284.703039394787</v>
      </c>
    </row>
    <row r="13" customFormat="false" ht="15" hidden="false" customHeight="true" outlineLevel="0" collapsed="false">
      <c r="B13" s="1" t="s">
        <v>199</v>
      </c>
      <c r="C13" s="23" t="n">
        <f aca="false">Assumptions!E14-'Bornhuetter-Ferguson'!H15*(1+Assumptions!E10)</f>
        <v>-3053.42247701641</v>
      </c>
    </row>
    <row r="14" customFormat="false" ht="15" hidden="false" customHeight="true" outlineLevel="0" collapsed="false">
      <c r="B14" s="1" t="s">
        <v>200</v>
      </c>
      <c r="C14" s="23" t="n">
        <f aca="false">SUM(C11:G11)</f>
        <v>-1085.05067872795</v>
      </c>
    </row>
    <row r="15" customFormat="false" ht="15" hidden="false" customHeight="true" outlineLevel="0" collapsed="false">
      <c r="B15" s="1" t="s">
        <v>201</v>
      </c>
      <c r="C15" s="23" t="n">
        <f aca="false">C13+C14</f>
        <v>-4138.47315574437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18"/>
  </cols>
  <sheetData>
    <row r="2" customFormat="false" ht="27.75" hidden="false" customHeight="true" outlineLevel="0" collapsed="false">
      <c r="B2" s="2" t="s">
        <v>202</v>
      </c>
      <c r="C2" s="2"/>
      <c r="D2" s="2"/>
      <c r="E2" s="2"/>
    </row>
    <row r="4" customFormat="false" ht="15" hidden="false" customHeight="true" outlineLevel="0" collapsed="false">
      <c r="B4" s="16" t="s">
        <v>203</v>
      </c>
      <c r="C4" s="16" t="s">
        <v>204</v>
      </c>
      <c r="D4" s="16" t="s">
        <v>205</v>
      </c>
      <c r="E4" s="16" t="s">
        <v>40</v>
      </c>
    </row>
    <row r="5" customFormat="false" ht="15" hidden="false" customHeight="true" outlineLevel="0" collapsed="false">
      <c r="B5" s="1" t="s">
        <v>206</v>
      </c>
      <c r="C5" s="23" t="n">
        <f aca="false">Underwriting!C5</f>
        <v>500</v>
      </c>
      <c r="D5" s="19" t="n">
        <f aca="false">Assumptions!E15</f>
        <v>0.24</v>
      </c>
      <c r="E5" s="23" t="n">
        <f aca="false">C5*D5</f>
        <v>120</v>
      </c>
    </row>
    <row r="6" customFormat="false" ht="15" hidden="false" customHeight="true" outlineLevel="0" collapsed="false">
      <c r="B6" s="1" t="s">
        <v>207</v>
      </c>
      <c r="C6" s="23" t="n">
        <f aca="false">'Bornhuetter-Ferguson'!H15</f>
        <v>2789.69055493149</v>
      </c>
      <c r="D6" s="19" t="n">
        <f aca="false">Assumptions!E16</f>
        <v>0.18</v>
      </c>
      <c r="E6" s="23" t="n">
        <f aca="false">C6*D6</f>
        <v>502.144299887668</v>
      </c>
    </row>
    <row r="7" customFormat="false" ht="15" hidden="false" customHeight="true" outlineLevel="0" collapsed="false">
      <c r="B7" s="1" t="s">
        <v>208</v>
      </c>
      <c r="C7" s="23" t="n">
        <f aca="false">Assumptions!E12</f>
        <v>900</v>
      </c>
      <c r="D7" s="19" t="n">
        <f aca="false">Assumptions!E17</f>
        <v>0.2</v>
      </c>
      <c r="E7" s="23" t="n">
        <f aca="false">C7*D7</f>
        <v>180</v>
      </c>
    </row>
    <row r="9" customFormat="false" ht="15" hidden="false" customHeight="true" outlineLevel="0" collapsed="false">
      <c r="B9" s="1" t="s">
        <v>209</v>
      </c>
      <c r="E9" s="23" t="n">
        <f aca="false">SQRT(SUMSQ(E5:E7)+2*0.25*(E5*E6+E5*E7+E6*E7))</f>
        <v>620.540524778863</v>
      </c>
    </row>
    <row r="10" customFormat="false" ht="15" hidden="false" customHeight="true" outlineLevel="0" collapsed="false">
      <c r="B10" s="1" t="s">
        <v>210</v>
      </c>
      <c r="E10" s="23" t="n">
        <f aca="false">Assumptions!E14</f>
        <v>350</v>
      </c>
    </row>
    <row r="11" customFormat="false" ht="15" hidden="false" customHeight="true" outlineLevel="0" collapsed="false">
      <c r="B11" s="1" t="s">
        <v>211</v>
      </c>
      <c r="E11" s="25" t="n">
        <f aca="false">IFERROR(E10/E9,0)</f>
        <v>0.564024404570075</v>
      </c>
    </row>
    <row r="12" customFormat="false" ht="15" hidden="false" customHeight="true" outlineLevel="0" collapsed="false">
      <c r="B12" s="1" t="s">
        <v>212</v>
      </c>
      <c r="E12" s="25" t="n">
        <f aca="false">Assumptions!E18</f>
        <v>1.5</v>
      </c>
    </row>
    <row r="13" customFormat="false" ht="15" hidden="false" customHeight="true" outlineLevel="0" collapsed="false">
      <c r="B13" s="1" t="s">
        <v>213</v>
      </c>
      <c r="E13" s="1" t="str">
        <f aca="false">IF(E11&gt;=E12,"PASS","BREACH")</f>
        <v>BREACH</v>
      </c>
    </row>
  </sheetData>
  <mergeCells count="1">
    <mergeCell ref="B2:E2"/>
  </mergeCells>
  <conditionalFormatting sqref="E13">
    <cfRule type="expression" priority="2" aboveAverage="0" equalAverage="0" bottom="0" percent="0" rank="0" text="" dxfId="0">
      <formula>E13="PASS"</formula>
    </cfRule>
    <cfRule type="expression" priority="3" aboveAverage="0" equalAverage="0" bottom="0" percent="0" rank="0" text="" dxfId="1">
      <formula>E13="FAIL"</formula>
    </cfRule>
    <cfRule type="expression" priority="4" aboveAverage="0" equalAverage="0" bottom="0" percent="0" rank="0" text="" dxfId="2">
      <formula>E13="REVIEW"</formula>
    </cfRule>
    <cfRule type="expression" priority="5" aboveAverage="0" equalAverage="0" bottom="0" percent="0" rank="0" text="" dxfId="1">
      <formula>E13="BREACH"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7" min="3" style="1" width="14"/>
  </cols>
  <sheetData>
    <row r="2" customFormat="false" ht="27.75" hidden="false" customHeight="true" outlineLevel="0" collapsed="false">
      <c r="B2" s="2" t="s">
        <v>214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215</v>
      </c>
      <c r="C4" s="32" t="n">
        <v>-0.2</v>
      </c>
      <c r="D4" s="32" t="n">
        <v>-0.1</v>
      </c>
      <c r="E4" s="32" t="n">
        <v>0</v>
      </c>
      <c r="F4" s="32" t="n">
        <v>0.1</v>
      </c>
      <c r="G4" s="32" t="n">
        <v>0.2</v>
      </c>
    </row>
    <row r="5" customFormat="false" ht="15" hidden="false" customHeight="true" outlineLevel="0" collapsed="false">
      <c r="B5" s="19" t="n">
        <v>0</v>
      </c>
      <c r="C5" s="25" t="n">
        <f aca="false">(Assumptions!$E$14*(1+C$4)-'Bornhuetter-Ferguson'!$H$15*(1+$B5))/Capital!$E$9</f>
        <v>-4.04436205971535</v>
      </c>
      <c r="D5" s="25" t="n">
        <f aca="false">(Assumptions!$E$14*(1+D$4)-'Bornhuetter-Ferguson'!$H$15*(1+$B5))/Capital!$E$9</f>
        <v>-3.98795961925835</v>
      </c>
      <c r="E5" s="25" t="n">
        <f aca="false">(Assumptions!$E$14*(1+E$4)-'Bornhuetter-Ferguson'!$H$15*(1+$B5))/Capital!$E$9</f>
        <v>-3.93155717880134</v>
      </c>
      <c r="F5" s="25" t="n">
        <f aca="false">(Assumptions!$E$14*(1+F$4)-'Bornhuetter-Ferguson'!$H$15*(1+$B5))/Capital!$E$9</f>
        <v>-3.87515473834433</v>
      </c>
      <c r="G5" s="25" t="n">
        <f aca="false">(Assumptions!$E$14*(1+G$4)-'Bornhuetter-Ferguson'!$H$15*(1+$B5))/Capital!$E$9</f>
        <v>-3.81875229788732</v>
      </c>
    </row>
    <row r="6" customFormat="false" ht="15" hidden="false" customHeight="true" outlineLevel="0" collapsed="false">
      <c r="B6" s="19" t="n">
        <v>0.05</v>
      </c>
      <c r="C6" s="25" t="n">
        <f aca="false">(Assumptions!$E$14*(1+C$4)-'Bornhuetter-Ferguson'!$H$15*(1+$B6))/Capital!$E$9</f>
        <v>-4.26914113888392</v>
      </c>
      <c r="D6" s="25" t="n">
        <f aca="false">(Assumptions!$E$14*(1+D$4)-'Bornhuetter-Ferguson'!$H$15*(1+$B6))/Capital!$E$9</f>
        <v>-4.21273869842692</v>
      </c>
      <c r="E6" s="25" t="n">
        <f aca="false">(Assumptions!$E$14*(1+E$4)-'Bornhuetter-Ferguson'!$H$15*(1+$B6))/Capital!$E$9</f>
        <v>-4.15633625796991</v>
      </c>
      <c r="F6" s="25" t="n">
        <f aca="false">(Assumptions!$E$14*(1+F$4)-'Bornhuetter-Ferguson'!$H$15*(1+$B6))/Capital!$E$9</f>
        <v>-4.0999338175129</v>
      </c>
      <c r="G6" s="25" t="n">
        <f aca="false">(Assumptions!$E$14*(1+G$4)-'Bornhuetter-Ferguson'!$H$15*(1+$B6))/Capital!$E$9</f>
        <v>-4.0435313770559</v>
      </c>
    </row>
    <row r="7" customFormat="false" ht="15" hidden="false" customHeight="true" outlineLevel="0" collapsed="false">
      <c r="B7" s="19" t="n">
        <v>0.1</v>
      </c>
      <c r="C7" s="25" t="n">
        <f aca="false">(Assumptions!$E$14*(1+C$4)-'Bornhuetter-Ferguson'!$H$15*(1+$B7))/Capital!$E$9</f>
        <v>-4.4939202180525</v>
      </c>
      <c r="D7" s="25" t="n">
        <f aca="false">(Assumptions!$E$14*(1+D$4)-'Bornhuetter-Ferguson'!$H$15*(1+$B7))/Capital!$E$9</f>
        <v>-4.43751777759549</v>
      </c>
      <c r="E7" s="25" t="n">
        <f aca="false">(Assumptions!$E$14*(1+E$4)-'Bornhuetter-Ferguson'!$H$15*(1+$B7))/Capital!$E$9</f>
        <v>-4.38111533713848</v>
      </c>
      <c r="F7" s="25" t="n">
        <f aca="false">(Assumptions!$E$14*(1+F$4)-'Bornhuetter-Ferguson'!$H$15*(1+$B7))/Capital!$E$9</f>
        <v>-4.32471289668147</v>
      </c>
      <c r="G7" s="25" t="n">
        <f aca="false">(Assumptions!$E$14*(1+G$4)-'Bornhuetter-Ferguson'!$H$15*(1+$B7))/Capital!$E$9</f>
        <v>-4.26831045622447</v>
      </c>
    </row>
    <row r="8" customFormat="false" ht="15" hidden="false" customHeight="true" outlineLevel="0" collapsed="false">
      <c r="B8" s="19" t="n">
        <v>0.15</v>
      </c>
      <c r="C8" s="25" t="n">
        <f aca="false">(Assumptions!$E$14*(1+C$4)-'Bornhuetter-Ferguson'!$H$15*(1+$B8))/Capital!$E$9</f>
        <v>-4.71869929722107</v>
      </c>
      <c r="D8" s="25" t="n">
        <f aca="false">(Assumptions!$E$14*(1+D$4)-'Bornhuetter-Ferguson'!$H$15*(1+$B8))/Capital!$E$9</f>
        <v>-4.66229685676406</v>
      </c>
      <c r="E8" s="25" t="n">
        <f aca="false">(Assumptions!$E$14*(1+E$4)-'Bornhuetter-Ferguson'!$H$15*(1+$B8))/Capital!$E$9</f>
        <v>-4.60589441630705</v>
      </c>
      <c r="F8" s="25" t="n">
        <f aca="false">(Assumptions!$E$14*(1+F$4)-'Bornhuetter-Ferguson'!$H$15*(1+$B8))/Capital!$E$9</f>
        <v>-4.54949197585004</v>
      </c>
      <c r="G8" s="25" t="n">
        <f aca="false">(Assumptions!$E$14*(1+G$4)-'Bornhuetter-Ferguson'!$H$15*(1+$B8))/Capital!$E$9</f>
        <v>-4.49308953539304</v>
      </c>
    </row>
    <row r="9" customFormat="false" ht="15" hidden="false" customHeight="true" outlineLevel="0" collapsed="false">
      <c r="B9" s="19" t="n">
        <v>0.2</v>
      </c>
      <c r="C9" s="25" t="n">
        <f aca="false">(Assumptions!$E$14*(1+C$4)-'Bornhuetter-Ferguson'!$H$15*(1+$B9))/Capital!$E$9</f>
        <v>-4.94347837638964</v>
      </c>
      <c r="D9" s="25" t="n">
        <f aca="false">(Assumptions!$E$14*(1+D$4)-'Bornhuetter-Ferguson'!$H$15*(1+$B9))/Capital!$E$9</f>
        <v>-4.88707593593263</v>
      </c>
      <c r="E9" s="25" t="n">
        <f aca="false">(Assumptions!$E$14*(1+E$4)-'Bornhuetter-Ferguson'!$H$15*(1+$B9))/Capital!$E$9</f>
        <v>-4.83067349547562</v>
      </c>
      <c r="F9" s="25" t="n">
        <f aca="false">(Assumptions!$E$14*(1+F$4)-'Bornhuetter-Ferguson'!$H$15*(1+$B9))/Capital!$E$9</f>
        <v>-4.77427105501861</v>
      </c>
      <c r="G9" s="25" t="n">
        <f aca="false">(Assumptions!$E$14*(1+G$4)-'Bornhuetter-Ferguson'!$H$15*(1+$B9))/Capital!$E$9</f>
        <v>-4.71786861456161</v>
      </c>
    </row>
  </sheetData>
  <mergeCells count="1">
    <mergeCell ref="B2:G2"/>
  </mergeCells>
  <conditionalFormatting sqref="C5:G9">
    <cfRule type="colorScale" priority="2">
      <colorScale>
        <cfvo type="min" val="0"/>
        <cfvo type="percentile" val="50"/>
        <cfvo type="max" val="0"/>
        <color rgb="FFFCE4D6"/>
        <color rgb="FFFFF2CC"/>
        <color rgb="FFE2F0D9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6"/>
    <col collapsed="false" customWidth="true" hidden="false" outlineLevel="0" max="3" min="3" style="1" width="18"/>
  </cols>
  <sheetData>
    <row r="2" customFormat="false" ht="27.75" hidden="false" customHeight="true" outlineLevel="0" collapsed="false">
      <c r="B2" s="2" t="s">
        <v>216</v>
      </c>
      <c r="C2" s="2"/>
    </row>
    <row r="4" customFormat="false" ht="15" hidden="false" customHeight="true" outlineLevel="0" collapsed="false">
      <c r="B4" s="16" t="s">
        <v>217</v>
      </c>
      <c r="C4" s="16" t="s">
        <v>43</v>
      </c>
    </row>
    <row r="5" customFormat="false" ht="15" hidden="false" customHeight="true" outlineLevel="0" collapsed="false">
      <c r="B5" s="1" t="s">
        <v>218</v>
      </c>
      <c r="C5" s="1" t="str">
        <f aca="false">IF(MIN('Paid Triangle'!D5-'Paid Triangle'!C5,'Paid Triangle'!E5-'Paid Triangle'!D5,'Paid Triangle'!F5-'Paid Triangle'!E5,'Paid Triangle'!G5-'Paid Triangle'!F5,'Paid Triangle'!H5-'Paid Triangle'!G5,'Paid Triangle'!I5-'Paid Triangle'!H5,'Paid Triangle'!J5-'Paid Triangle'!I5,'Paid Triangle'!K5-'Paid Triangle'!J5,'Paid Triangle'!L5-'Paid Triangle'!K5,'Paid Triangle'!D6-'Paid Triangle'!C6,'Paid Triangle'!E6-'Paid Triangle'!D6,'Paid Triangle'!F6-'Paid Triangle'!E6,'Paid Triangle'!G6-'Paid Triangle'!F6,'Paid Triangle'!H6-'Paid Triangle'!G6,'Paid Triangle'!I6-'Paid Triangle'!H6,'Paid Triangle'!J6-'Paid Triangle'!I6,'Paid Triangle'!K6-'Paid Triangle'!J6,'Paid Triangle'!L6-'Paid Triangle'!K6,'Paid Triangle'!D7-'Paid Triangle'!C7,'Paid Triangle'!E7-'Paid Triangle'!D7,'Paid Triangle'!F7-'Paid Triangle'!E7,'Paid Triangle'!G7-'Paid Triangle'!F7,'Paid Triangle'!H7-'Paid Triangle'!G7,'Paid Triangle'!I7-'Paid Triangle'!H7,'Paid Triangle'!J7-'Paid Triangle'!I7,'Paid Triangle'!K7-'Paid Triangle'!J7,'Paid Triangle'!L7-'Paid Triangle'!K7,'Paid Triangle'!D8-'Paid Triangle'!C8,'Paid Triangle'!E8-'Paid Triangle'!D8,'Paid Triangle'!F8-'Paid Triangle'!E8,'Paid Triangle'!G8-'Paid Triangle'!F8,'Paid Triangle'!H8-'Paid Triangle'!G8,'Paid Triangle'!I8-'Paid Triangle'!H8,'Paid Triangle'!J8-'Paid Triangle'!I8,'Paid Triangle'!K8-'Paid Triangle'!J8,'Paid Triangle'!L8-'Paid Triangle'!K8,'Paid Triangle'!D9-'Paid Triangle'!C9,'Paid Triangle'!E9-'Paid Triangle'!D9,'Paid Triangle'!F9-'Paid Triangle'!E9,'Paid Triangle'!G9-'Paid Triangle'!F9,'Paid Triangle'!H9-'Paid Triangle'!G9,'Paid Triangle'!I9-'Paid Triangle'!H9,'Paid Triangle'!J9-'Paid Triangle'!I9,'Paid Triangle'!K9-'Paid Triangle'!J9,'Paid Triangle'!L9-'Paid Triangle'!K9,'Paid Triangle'!D10-'Paid Triangle'!C10,'Paid Triangle'!E10-'Paid Triangle'!D10,'Paid Triangle'!F10-'Paid Triangle'!E10,'Paid Triangle'!G10-'Paid Triangle'!F10,'Paid Triangle'!H10-'Paid Triangle'!G10,'Paid Triangle'!I10-'Paid Triangle'!H10,'Paid Triangle'!J10-'Paid Triangle'!I10,'Paid Triangle'!K10-'Paid Triangle'!J10,'Paid Triangle'!L10-'Paid Triangle'!K10,'Paid Triangle'!D11-'Paid Triangle'!C11,'Paid Triangle'!E11-'Paid Triangle'!D11,'Paid Triangle'!F11-'Paid Triangle'!E11,'Paid Triangle'!G11-'Paid Triangle'!F11,'Paid Triangle'!H11-'Paid Triangle'!G11,'Paid Triangle'!I11-'Paid Triangle'!H11,'Paid Triangle'!J11-'Paid Triangle'!I11,'Paid Triangle'!K11-'Paid Triangle'!J11,'Paid Triangle'!L11-'Paid Triangle'!K11,'Paid Triangle'!D12-'Paid Triangle'!C12,'Paid Triangle'!E12-'Paid Triangle'!D12,'Paid Triangle'!F12-'Paid Triangle'!E12,'Paid Triangle'!G12-'Paid Triangle'!F12,'Paid Triangle'!H12-'Paid Triangle'!G12,'Paid Triangle'!I12-'Paid Triangle'!H12,'Paid Triangle'!J12-'Paid Triangle'!I12,'Paid Triangle'!K12-'Paid Triangle'!J12,'Paid Triangle'!L12-'Paid Triangle'!K12,'Paid Triangle'!D13-'Paid Triangle'!C13,'Paid Triangle'!E13-'Paid Triangle'!D13,'Paid Triangle'!F13-'Paid Triangle'!E13,'Paid Triangle'!G13-'Paid Triangle'!F13,'Paid Triangle'!H13-'Paid Triangle'!G13,'Paid Triangle'!I13-'Paid Triangle'!H13,'Paid Triangle'!J13-'Paid Triangle'!I13,'Paid Triangle'!K13-'Paid Triangle'!J13,'Paid Triangle'!L13-'Paid Triangle'!K13,'Paid Triangle'!D14-'Paid Triangle'!C14,'Paid Triangle'!E14-'Paid Triangle'!D14,'Paid Triangle'!F14-'Paid Triangle'!E14,'Paid Triangle'!G14-'Paid Triangle'!F14,'Paid Triangle'!H14-'Paid Triangle'!G14,'Paid Triangle'!I14-'Paid Triangle'!H14,'Paid Triangle'!J14-'Paid Triangle'!I14,'Paid Triangle'!K14-'Paid Triangle'!J14,'Paid Triangle'!L14-'Paid Triangle'!K14)&gt;=0,"PASS","FAIL")</f>
        <v>FAIL</v>
      </c>
    </row>
    <row r="6" customFormat="false" ht="15" hidden="false" customHeight="true" outlineLevel="0" collapsed="false">
      <c r="B6" s="1" t="s">
        <v>219</v>
      </c>
      <c r="C6" s="1" t="str">
        <f aca="false">IF(MIN('Chain Ladder'!C5:L5)&gt;=1,"PASS","FAIL")</f>
        <v>PASS</v>
      </c>
    </row>
    <row r="7" customFormat="false" ht="15" hidden="false" customHeight="true" outlineLevel="0" collapsed="false">
      <c r="B7" s="1" t="s">
        <v>220</v>
      </c>
      <c r="C7" s="1" t="str">
        <f aca="false">IF(MIN('Chain Ladder'!N8:N17)&gt;=0,"PASS","FAIL")</f>
        <v>PASS</v>
      </c>
    </row>
    <row r="8" customFormat="false" ht="15" hidden="false" customHeight="true" outlineLevel="0" collapsed="false">
      <c r="B8" s="1" t="s">
        <v>221</v>
      </c>
      <c r="C8" s="1" t="str">
        <f aca="false">IF(MIN('Bornhuetter-Ferguson'!H5:H14)&gt;=0,"PASS","FAIL")</f>
        <v>PASS</v>
      </c>
    </row>
    <row r="9" customFormat="false" ht="15" hidden="false" customHeight="true" outlineLevel="0" collapsed="false">
      <c r="B9" s="1" t="s">
        <v>222</v>
      </c>
      <c r="C9" s="1" t="str">
        <f aca="false">IF(AND(MIN(Underwriting!C11:G11)&gt;=0,MAX(Underwriting!C11:G11)&lt;3),"PASS","FAIL")</f>
        <v>PASS</v>
      </c>
    </row>
    <row r="10" customFormat="false" ht="15" hidden="false" customHeight="true" outlineLevel="0" collapsed="false">
      <c r="B10" s="1" t="s">
        <v>223</v>
      </c>
      <c r="C10" s="1" t="str">
        <f aca="false">IF(Capital!E9&gt;0,"PASS","FAIL")</f>
        <v>PASS</v>
      </c>
    </row>
    <row r="11" customFormat="false" ht="15" hidden="false" customHeight="true" outlineLevel="0" collapsed="false">
      <c r="B11" s="1" t="s">
        <v>211</v>
      </c>
      <c r="C11" s="1" t="str">
        <f aca="false">IF(Capital!E13="PASS","PASS","REVIEW")</f>
        <v>REVIEW</v>
      </c>
    </row>
    <row r="12" customFormat="false" ht="15" hidden="false" customHeight="true" outlineLevel="0" collapsed="false">
      <c r="B12" s="1" t="s">
        <v>224</v>
      </c>
      <c r="C12" s="1" t="str">
        <f aca="false">IF(ABS('Embedded Value'!C15)&lt;1000000,"PASS","FAIL")</f>
        <v>PASS</v>
      </c>
    </row>
    <row r="13" customFormat="false" ht="15" hidden="false" customHeight="true" outlineLevel="0" collapsed="false">
      <c r="B13" s="1" t="s">
        <v>225</v>
      </c>
      <c r="C13" s="1" t="str">
        <f aca="false">IF(COUNTIF(C5:C12,"FAIL")=0,"PASS","FAIL")</f>
        <v>FAIL</v>
      </c>
    </row>
  </sheetData>
  <mergeCells count="1">
    <mergeCell ref="B2:C2"/>
  </mergeCells>
  <conditionalFormatting sqref="C5:C13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58"/>
    <col collapsed="false" customWidth="true" hidden="false" outlineLevel="0" max="4" min="4" style="1" width="16"/>
    <col collapsed="false" customWidth="true" hidden="false" outlineLevel="0" max="5" min="5" style="1" width="48"/>
  </cols>
  <sheetData>
    <row r="2" customFormat="false" ht="27.75" hidden="false" customHeight="true" outlineLevel="0" collapsed="false">
      <c r="B2" s="2" t="s">
        <v>226</v>
      </c>
      <c r="C2" s="2"/>
      <c r="D2" s="2"/>
      <c r="E2" s="2"/>
    </row>
    <row r="4" customFormat="false" ht="15" hidden="false" customHeight="true" outlineLevel="0" collapsed="false">
      <c r="B4" s="16" t="s">
        <v>227</v>
      </c>
      <c r="C4" s="16" t="s">
        <v>228</v>
      </c>
      <c r="D4" s="16" t="s">
        <v>109</v>
      </c>
      <c r="E4" s="16" t="s">
        <v>229</v>
      </c>
    </row>
    <row r="5" customFormat="false" ht="15" hidden="false" customHeight="true" outlineLevel="0" collapsed="false">
      <c r="B5" s="33" t="s">
        <v>230</v>
      </c>
      <c r="C5" s="33" t="s">
        <v>231</v>
      </c>
      <c r="D5" s="33" t="s">
        <v>232</v>
      </c>
      <c r="E5" s="33" t="s">
        <v>233</v>
      </c>
    </row>
    <row r="6" customFormat="false" ht="15" hidden="false" customHeight="true" outlineLevel="0" collapsed="false">
      <c r="B6" s="33" t="s">
        <v>234</v>
      </c>
      <c r="C6" s="33" t="s">
        <v>235</v>
      </c>
      <c r="D6" s="33" t="s">
        <v>236</v>
      </c>
      <c r="E6" s="33" t="s">
        <v>237</v>
      </c>
    </row>
    <row r="7" customFormat="false" ht="15" hidden="false" customHeight="true" outlineLevel="0" collapsed="false">
      <c r="B7" s="33" t="s">
        <v>238</v>
      </c>
      <c r="C7" s="33" t="s">
        <v>239</v>
      </c>
      <c r="D7" s="33" t="s">
        <v>4</v>
      </c>
      <c r="E7" s="33" t="s">
        <v>240</v>
      </c>
    </row>
    <row r="8" customFormat="false" ht="15" hidden="false" customHeight="true" outlineLevel="0" collapsed="false">
      <c r="B8" s="33" t="s">
        <v>241</v>
      </c>
      <c r="C8" s="33" t="s">
        <v>242</v>
      </c>
      <c r="D8" s="33" t="s">
        <v>243</v>
      </c>
      <c r="E8" s="33" t="s">
        <v>244</v>
      </c>
    </row>
    <row r="9" customFormat="false" ht="15" hidden="false" customHeight="true" outlineLevel="0" collapsed="false">
      <c r="B9" s="33" t="s">
        <v>245</v>
      </c>
      <c r="C9" s="33" t="s">
        <v>246</v>
      </c>
      <c r="D9" s="33" t="s">
        <v>4</v>
      </c>
      <c r="E9" s="33" t="s">
        <v>247</v>
      </c>
    </row>
    <row r="10" customFormat="false" ht="15" hidden="false" customHeight="false" outlineLevel="0" collapsed="false">
      <c r="B10" s="34" t="s">
        <v>248</v>
      </c>
      <c r="C10" s="34" t="s">
        <v>249</v>
      </c>
      <c r="D10" s="34" t="s">
        <v>6</v>
      </c>
      <c r="E10" s="34" t="s">
        <v>250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28"/>
    <col collapsed="false" customWidth="true" hidden="false" outlineLevel="0" max="5" min="5" style="1" width="38"/>
    <col collapsed="false" customWidth="true" hidden="false" outlineLevel="0" max="6" min="6" style="1" width="34"/>
    <col collapsed="false" customWidth="true" hidden="false" outlineLevel="0" max="7" min="7" style="1" width="18"/>
  </cols>
  <sheetData>
    <row r="2" customFormat="false" ht="27.75" hidden="false" customHeight="true" outlineLevel="0" collapsed="false">
      <c r="B2" s="2" t="s">
        <v>251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97</v>
      </c>
      <c r="C4" s="16" t="s">
        <v>252</v>
      </c>
      <c r="D4" s="16" t="s">
        <v>253</v>
      </c>
      <c r="E4" s="16" t="s">
        <v>254</v>
      </c>
      <c r="F4" s="16" t="s">
        <v>255</v>
      </c>
      <c r="G4" s="16" t="s">
        <v>256</v>
      </c>
    </row>
    <row r="5" customFormat="false" ht="15" hidden="false" customHeight="true" outlineLevel="0" collapsed="false">
      <c r="B5" s="35" t="s">
        <v>6</v>
      </c>
      <c r="C5" s="35" t="s">
        <v>257</v>
      </c>
      <c r="D5" s="35" t="s">
        <v>249</v>
      </c>
      <c r="E5" s="35" t="s">
        <v>258</v>
      </c>
      <c r="F5" s="35" t="s">
        <v>259</v>
      </c>
      <c r="G5" s="35" t="s">
        <v>260</v>
      </c>
    </row>
    <row r="6" customFormat="false" ht="15" hidden="false" customHeight="true" outlineLevel="0" collapsed="false">
      <c r="B6" s="35"/>
      <c r="C6" s="35"/>
      <c r="D6" s="35"/>
      <c r="E6" s="35"/>
      <c r="F6" s="35"/>
      <c r="G6" s="35"/>
    </row>
    <row r="7" customFormat="false" ht="15" hidden="false" customHeight="true" outlineLevel="0" collapsed="false">
      <c r="B7" s="35"/>
      <c r="C7" s="35"/>
      <c r="D7" s="35"/>
      <c r="E7" s="35"/>
      <c r="F7" s="35"/>
      <c r="G7" s="35"/>
    </row>
    <row r="8" customFormat="false" ht="15" hidden="false" customHeight="true" outlineLevel="0" collapsed="false">
      <c r="B8" s="35"/>
      <c r="C8" s="35"/>
      <c r="D8" s="35"/>
      <c r="E8" s="35"/>
      <c r="F8" s="35"/>
      <c r="G8" s="35"/>
    </row>
    <row r="9" customFormat="false" ht="15" hidden="false" customHeight="true" outlineLevel="0" collapsed="false">
      <c r="B9" s="35"/>
      <c r="C9" s="35"/>
      <c r="D9" s="35"/>
      <c r="E9" s="35"/>
      <c r="F9" s="35"/>
      <c r="G9" s="35"/>
    </row>
    <row r="10" customFormat="false" ht="15" hidden="false" customHeight="true" outlineLevel="0" collapsed="false">
      <c r="B10" s="35"/>
      <c r="C10" s="35"/>
      <c r="D10" s="35"/>
      <c r="E10" s="35"/>
      <c r="F10" s="35"/>
      <c r="G10" s="35"/>
    </row>
    <row r="11" customFormat="false" ht="15" hidden="false" customHeight="true" outlineLevel="0" collapsed="false">
      <c r="B11" s="35"/>
      <c r="C11" s="35"/>
      <c r="D11" s="35"/>
      <c r="E11" s="35"/>
      <c r="F11" s="35"/>
      <c r="G11" s="35"/>
    </row>
    <row r="12" customFormat="false" ht="15" hidden="false" customHeight="true" outlineLevel="0" collapsed="false">
      <c r="B12" s="35"/>
      <c r="C12" s="35"/>
      <c r="D12" s="35"/>
      <c r="E12" s="35"/>
      <c r="F12" s="35"/>
      <c r="G12" s="35"/>
    </row>
    <row r="13" customFormat="false" ht="15" hidden="false" customHeight="true" outlineLevel="0" collapsed="false">
      <c r="B13" s="35"/>
      <c r="C13" s="35"/>
      <c r="D13" s="35"/>
      <c r="E13" s="35"/>
      <c r="F13" s="35"/>
      <c r="G13" s="35"/>
    </row>
    <row r="14" customFormat="false" ht="15" hidden="false" customHeight="true" outlineLevel="0" collapsed="false">
      <c r="B14" s="35"/>
      <c r="C14" s="35"/>
      <c r="D14" s="35"/>
      <c r="E14" s="35"/>
      <c r="F14" s="35"/>
      <c r="G14" s="35"/>
    </row>
    <row r="15" customFormat="false" ht="15" hidden="false" customHeight="true" outlineLevel="0" collapsed="false">
      <c r="B15" s="35"/>
      <c r="C15" s="35"/>
      <c r="D15" s="35"/>
      <c r="E15" s="35"/>
      <c r="F15" s="35"/>
      <c r="G15" s="35"/>
    </row>
    <row r="16" customFormat="false" ht="15" hidden="false" customHeight="true" outlineLevel="0" collapsed="false">
      <c r="B16" s="35"/>
      <c r="C16" s="35"/>
      <c r="D16" s="35"/>
      <c r="E16" s="35"/>
      <c r="F16" s="35"/>
      <c r="G16" s="35"/>
    </row>
    <row r="17" customFormat="false" ht="15" hidden="false" customHeight="true" outlineLevel="0" collapsed="false">
      <c r="B17" s="35"/>
      <c r="C17" s="35"/>
      <c r="D17" s="35"/>
      <c r="E17" s="35"/>
      <c r="F17" s="35"/>
      <c r="G17" s="35"/>
    </row>
    <row r="18" customFormat="false" ht="15" hidden="false" customHeight="true" outlineLevel="0" collapsed="false">
      <c r="B18" s="35"/>
      <c r="C18" s="35"/>
      <c r="D18" s="35"/>
      <c r="E18" s="35"/>
      <c r="F18" s="35"/>
      <c r="G18" s="35"/>
    </row>
    <row r="19" customFormat="false" ht="15" hidden="false" customHeight="true" outlineLevel="0" collapsed="false">
      <c r="B19" s="35"/>
      <c r="C19" s="35"/>
      <c r="D19" s="35"/>
      <c r="E19" s="35"/>
      <c r="F19" s="35"/>
      <c r="G19" s="35"/>
    </row>
    <row r="20" customFormat="false" ht="15" hidden="false" customHeight="true" outlineLevel="0" collapsed="false">
      <c r="B20" s="35"/>
      <c r="C20" s="35"/>
      <c r="D20" s="35"/>
      <c r="E20" s="35"/>
      <c r="F20" s="35"/>
      <c r="G20" s="35"/>
    </row>
    <row r="21" customFormat="false" ht="15" hidden="false" customHeight="true" outlineLevel="0" collapsed="false">
      <c r="B21" s="35"/>
      <c r="C21" s="35"/>
      <c r="D21" s="35"/>
      <c r="E21" s="35"/>
      <c r="F21" s="35"/>
      <c r="G21" s="35"/>
    </row>
    <row r="22" customFormat="false" ht="15" hidden="false" customHeight="true" outlineLevel="0" collapsed="false">
      <c r="B22" s="35"/>
      <c r="C22" s="35"/>
      <c r="D22" s="35"/>
      <c r="E22" s="35"/>
      <c r="F22" s="35"/>
      <c r="G22" s="35"/>
    </row>
    <row r="23" customFormat="false" ht="15" hidden="false" customHeight="true" outlineLevel="0" collapsed="false">
      <c r="B23" s="35"/>
      <c r="C23" s="35"/>
      <c r="D23" s="35"/>
      <c r="E23" s="35"/>
      <c r="F23" s="35"/>
      <c r="G23" s="35"/>
    </row>
    <row r="24" customFormat="false" ht="15" hidden="false" customHeight="true" outlineLevel="0" collapsed="false">
      <c r="B24" s="35"/>
      <c r="C24" s="35"/>
      <c r="D24" s="35"/>
      <c r="E24" s="35"/>
      <c r="F24" s="35"/>
      <c r="G24" s="35"/>
    </row>
    <row r="25" customFormat="false" ht="15" hidden="false" customHeight="true" outlineLevel="0" collapsed="false">
      <c r="B25" s="35"/>
      <c r="C25" s="35"/>
      <c r="D25" s="35"/>
      <c r="E25" s="35"/>
      <c r="F25" s="35"/>
      <c r="G25" s="35"/>
    </row>
    <row r="26" customFormat="false" ht="15" hidden="false" customHeight="true" outlineLevel="0" collapsed="false">
      <c r="B26" s="35"/>
      <c r="C26" s="35"/>
      <c r="D26" s="35"/>
      <c r="E26" s="35"/>
      <c r="F26" s="35"/>
      <c r="G26" s="35"/>
    </row>
    <row r="27" customFormat="false" ht="15" hidden="false" customHeight="true" outlineLevel="0" collapsed="false">
      <c r="B27" s="35"/>
      <c r="C27" s="35"/>
      <c r="D27" s="35"/>
      <c r="E27" s="35"/>
      <c r="F27" s="35"/>
      <c r="G27" s="35"/>
    </row>
    <row r="28" customFormat="false" ht="15" hidden="false" customHeight="true" outlineLevel="0" collapsed="false">
      <c r="B28" s="35"/>
      <c r="C28" s="35"/>
      <c r="D28" s="35"/>
      <c r="E28" s="35"/>
      <c r="F28" s="35"/>
      <c r="G28" s="35"/>
    </row>
    <row r="29" customFormat="false" ht="15" hidden="false" customHeight="true" outlineLevel="0" collapsed="false">
      <c r="B29" s="35"/>
      <c r="C29" s="35"/>
      <c r="D29" s="35"/>
      <c r="E29" s="35"/>
      <c r="F29" s="35"/>
      <c r="G29" s="35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2026-08-04T03:47:42Z</dcterms:created>
  <dc:creator>openpyxl</dc:creator>
  <dc:description/>
  <dc:language>en-US</dc:language>
  <cp:lastModifiedBy/>
  <dcterms:modified xsi:type="dcterms:W3CDTF">2026-08-04T03:48:49Z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