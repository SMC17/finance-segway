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Paid Triangle" sheetId="3" state="visible" r:id="rId5"/>
    <sheet name="Chain Ladder" sheetId="4" state="visible" r:id="rId6"/>
    <sheet name="Bornhuetter-Ferguson" sheetId="5" state="visible" r:id="rId7"/>
    <sheet name="Underwriting" sheetId="6" state="visible" r:id="rId8"/>
    <sheet name="Embedded Value" sheetId="7" state="visible" r:id="rId9"/>
    <sheet name="Capital" sheetId="8" state="visible" r:id="rId10"/>
    <sheet name="Stress" sheetId="9" state="visible" r:id="rId11"/>
    <sheet name="Checks" sheetId="10" state="visible" r:id="rId12"/>
    <sheet name="Sources" sheetId="11" state="visible" r:id="rId13"/>
    <sheet name="RefreshLog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<sst xmlns="http://schemas.openxmlformats.org/spreadsheetml/2006/main" count="206" uniqueCount="168">
  <si>
    <t xml:space="preserve">[INSURER / BOOK] — Insurance &amp; Actuarial Model</t>
  </si>
  <si>
    <t xml:space="preserve">Entity / line of business:</t>
  </si>
  <si>
    <t xml:space="preserve">[Name / LOB]</t>
  </si>
  <si>
    <t xml:space="preserve">Valuation date:</t>
  </si>
  <si>
    <t xml:space="preserve">[date]</t>
  </si>
  <si>
    <t xml:space="preserve">Last refreshed:</t>
  </si>
  <si>
    <t xml:space="preserve">2024-02-23</t>
  </si>
  <si>
    <t xml:space="preserve">Next reserve / capital review:</t>
  </si>
  <si>
    <t xml:space="preserve">Refresh cadence:</t>
  </si>
  <si>
    <t xml:space="preserve">Quarterly and on material claims events</t>
  </si>
  <si>
    <t xml:space="preserve">Active scenario:</t>
  </si>
  <si>
    <t xml:space="preserve">Base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</si>
  <si>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</si>
  <si>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</si>
  <si>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</si>
  <si>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</si>
  <si>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</si>
  <si>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</si>
  <si>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</si>
  <si>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</si>
  <si>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</si>
  <si>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</si>
  <si>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</si>
  <si>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Actuarial, Underwriting, and Capital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</si>
  <si>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</si>
  <si>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</si>
  <si>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</si>
  <si>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</si>
  <si>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Expected loss ratio</t>
  </si>
  <si>
    <t xml:space="preserve">%</t>
  </si>
  <si>
    <t xml:space="preserve">Expense ratio</t>
  </si>
  <si>
    <t xml:space="preserve">Annual premium growth</t>
  </si>
  <si>
    <t xml:space="preserve">Claims inflation</t>
  </si>
  <si>
    <t xml:space="preserve">Discount rate</t>
  </si>
  <si>
    <t xml:space="preserve">Risk margin / reserve</t>
  </si>
  <si>
    <t xml:space="preserve">Opening earned premium</t>
  </si>
  <si>
    <t xml:space="preserve">$mm</t>
  </si>
  <si>
    <t xml:space="preserve">Opening invested assets</t>
  </si>
  <si>
    <t xml:space="preserve">Investment yield</t>
  </si>
  <si>
    <t xml:space="preserve">Opening available capital</t>
  </si>
  <si>
    <t xml:space="preserve">Premium risk factor</t>
  </si>
  <si>
    <t xml:space="preserve">% premium</t>
  </si>
  <si>
    <t xml:space="preserve">Reserve risk factor</t>
  </si>
  <si>
    <t xml:space="preserve">% reserve</t>
  </si>
  <si>
    <t xml:space="preserve">Asset risk factor</t>
  </si>
  <si>
    <t xml:space="preserve">% assets</t>
  </si>
  <si>
    <t xml:space="preserve">Minimum capital coverage</t>
  </si>
  <si>
    <t xml:space="preserve">x</t>
  </si>
  <si>
    <t xml:space="preserve">Cost of capital</t>
  </si>
  <si>
    <t xml:space="preserve">Projection horizon</t>
  </si>
  <si>
    <t xml:space="preserve">years</t>
  </si>
  <si>
    <t xml:space="preserve">Cumulative Paid Loss Triangle</t>
  </si>
  <si>
    <t xml:space="preserve">Accident year</t>
  </si>
  <si>
    <t xml:space="preserve">12m</t>
  </si>
  <si>
    <t xml:space="preserve">24m</t>
  </si>
  <si>
    <t xml:space="preserve">36m</t>
  </si>
  <si>
    <t xml:space="preserve">48m</t>
  </si>
  <si>
    <t xml:space="preserve">60m</t>
  </si>
  <si>
    <t xml:space="preserve">72m</t>
  </si>
  <si>
    <t xml:space="preserve">84m</t>
  </si>
  <si>
    <t xml:space="preserve">96m</t>
  </si>
  <si>
    <t xml:space="preserve">108m</t>
  </si>
  <si>
    <t xml:space="preserve">120m</t>
  </si>
  <si>
    <t xml:space="preserve">Chain-Ladder Reserve Development</t>
  </si>
  <si>
    <t xml:space="preserve">Metric</t>
  </si>
  <si>
    <t xml:space="preserve">Ultimate</t>
  </si>
  <si>
    <t xml:space="preserve">Reserve</t>
  </si>
  <si>
    <t xml:space="preserve">Selected age-to-age factor</t>
  </si>
  <si>
    <t xml:space="preserve">Cumulative development factor</t>
  </si>
  <si>
    <t xml:space="preserve">Total</t>
  </si>
  <si>
    <t xml:space="preserve">Bornhuetter-Ferguson Reserve Estimate</t>
  </si>
  <si>
    <t xml:space="preserve">Earned premium</t>
  </si>
  <si>
    <t xml:space="preserve">Expected loss</t>
  </si>
  <si>
    <t xml:space="preserve">% paid</t>
  </si>
  <si>
    <t xml:space="preserve">Paid to date</t>
  </si>
  <si>
    <t xml:space="preserve">BF ultimate</t>
  </si>
  <si>
    <t xml:space="preserve">BF reserve</t>
  </si>
  <si>
    <t xml:space="preserve">Five-Year Underwriting Forecast</t>
  </si>
  <si>
    <t xml:space="preserve">$mm / %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</si>
  <si>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</si>
  <si>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</si>
  <si>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</si>
  <si>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</si>
  <si>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</si>
  <si>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Incurred losses</t>
  </si>
  <si>
    <t xml:space="preserve">Underwriting expenses</t>
  </si>
  <si>
    <t xml:space="preserve">Underwriting result</t>
  </si>
  <si>
    <t xml:space="preserve">Loss ratio</t>
  </si>
  <si>
    <t xml:space="preserve">Combined ratio</t>
  </si>
  <si>
    <t xml:space="preserve">Investment income</t>
  </si>
  <si>
    <t xml:space="preserve">Pre-tax operating income</t>
  </si>
  <si>
    <t xml:space="preserve">Simplified Embedded Value</t>
  </si>
  <si>
    <t xml:space="preserve">Tax at 25%</t>
  </si>
  <si>
    <t xml:space="preserve">After-tax distributable earnings</t>
  </si>
  <si>
    <t xml:space="preserve">Risk margin charge</t>
  </si>
  <si>
    <t xml:space="preserve">Economic earnings</t>
  </si>
  <si>
    <t xml:space="preserve">Discount factor</t>
  </si>
  <si>
    <t xml:space="preserve">PV economic earnings</t>
  </si>
  <si>
    <t xml:space="preserve">Adjusted net asset value</t>
  </si>
  <si>
    <t xml:space="preserve">Present value of future economic earnings</t>
  </si>
  <si>
    <t xml:space="preserve">Embedded value</t>
  </si>
  <si>
    <t xml:space="preserve">Economic and Regulatory Capital Screen</t>
  </si>
  <si>
    <t xml:space="preserve">Capital component</t>
  </si>
  <si>
    <t xml:space="preserve">Exposure</t>
  </si>
  <si>
    <t xml:space="preserve">Factor</t>
  </si>
  <si>
    <t xml:space="preserve">Requirement</t>
  </si>
  <si>
    <t xml:space="preserve">Premium risk</t>
  </si>
  <si>
    <t xml:space="preserve">Reserve risk</t>
  </si>
  <si>
    <t xml:space="preserve">Asset risk</t>
  </si>
  <si>
    <t xml:space="preserve">Diversified capital requirement</t>
  </si>
  <si>
    <t xml:space="preserve">Available capital</t>
  </si>
  <si>
    <t xml:space="preserve">Capital coverage</t>
  </si>
  <si>
    <t xml:space="preserve">Minimum coverage</t>
  </si>
  <si>
    <t xml:space="preserve">Capital status</t>
  </si>
  <si>
    <t xml:space="preserve">Reserve and Capital Stress Matrix</t>
  </si>
  <si>
    <t xml:space="preserve">Loss ratio / Asset shock</t>
  </si>
  <si>
    <t xml:space="preserve">Actuarial Model Checks</t>
  </si>
  <si>
    <t xml:space="preserve">Check</t>
  </si>
  <si>
    <t xml:space="preserve">Status</t>
  </si>
  <si>
    <t xml:space="preserve">Paid triangle cumulative</t>
  </si>
  <si>
    <t xml:space="preserve">Development factors at least one</t>
  </si>
  <si>
    <t xml:space="preserve">Chain-ladder reserve nonnegative</t>
  </si>
  <si>
    <t xml:space="preserve">BF reserve nonnegative</t>
  </si>
  <si>
    <t xml:space="preserve">Combined ratio finite</t>
  </si>
  <si>
    <t xml:space="preserve">Capital requirement positive</t>
  </si>
  <si>
    <t xml:space="preserve">Embedded value finite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</si>
  <si>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</si>
  <si>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</si>
  <si>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</si>
  <si>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</si>
  <si>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As-of</t>
  </si>
  <si>
    <t xml:space="preserve">Notes / transformation</t>
  </si>
  <si>
    <t xml:space="preserve">Actuarial loss data</t>
  </si>
  <si>
    <t xml:space="preserve">[claims system / public filing]</t>
  </si>
  <si>
    <t xml:space="preserve">[valuation date]</t>
  </si>
  <si>
    <t xml:space="preserve">Paid, incurred, case reserve, claim counts</t>
  </si>
  <si>
    <t xml:space="preserve">Premium and exposure data</t>
  </si>
  <si>
    <t xml:space="preserve">[policy administration source]</t>
  </si>
  <si>
    <t xml:space="preserve">[period]</t>
  </si>
  <si>
    <t xml:space="preserve">Earned premium, rate, mix, exposure</t>
  </si>
  <si>
    <t xml:space="preserve">Reinsurance contracts</t>
  </si>
  <si>
    <t xml:space="preserve">[treaty / facultative documentation]</t>
  </si>
  <si>
    <t xml:space="preserve">Limits, attachment, reinstatements, credit risk</t>
  </si>
  <si>
    <t xml:space="preserve">Capital methodology</t>
  </si>
  <si>
    <t xml:space="preserve">[regulator / internal methodology URL]</t>
  </si>
  <si>
    <t xml:space="preserve">[effective date]</t>
  </si>
  <si>
    <t xml:space="preserve">Risk factors, diversification, management actions</t>
  </si>
  <si>
    <t xml:space="preserve">Investment portfolio</t>
  </si>
  <si>
    <t xml:space="preserve">[asset ledger / filing]</t>
  </si>
  <si>
    <t xml:space="preserve">Yield, duration, credit, liquidity, unrealized gains</t>
  </si>
  <si>
    <t xml:space="preserve">Chubb 2023 Form 10-K</t>
  </si>
  <si>
    <t xml:space="preserve">https://www.sec.gov/Archives/edgar/data/896159/000089615924000007/cb-20231231.htm</t>
  </si>
  <si>
    <t xml:space="preserve">U.S. SEC; frozen curated observation as of case date</t>
  </si>
  <si>
    <t xml:space="preserve">Frozen source snapshot</t>
  </si>
  <si>
    <t xml:space="preserve">repo://18_Insurance_Actuarial/sources/snapshots/insurance-chubb-2023.json</t>
  </si>
  <si>
    <t xml:space="preserve">Immutable curated observation package with SHA-256 digest</t>
  </si>
  <si>
    <t xml:space="preserve">Refresh Log</t>
  </si>
  <si>
    <t xml:space="preserve">Date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</si>
  <si>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</si>
  <si>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</si>
  <si>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</si>
  <si>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</si>
  <si>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</si>
  <si>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2026-08-04</t>
  </si>
  <si>
    <t xml:space="preserve">External historical evidence materialization</t>
  </si>
  <si>
    <t xml:space="preserve">Generated public case insurance-chubb-2023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</si>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</sst>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[RED]\(0.0%\);\-"/>
    <numFmt numFmtId="166" formatCode="0.00%;[RED]\(0.00%\);\-"/>
    <numFmt numFmtId="167" formatCode="\$#,##0.0;[RED]&quot;($&quot;#,##0.0\);\-"/>
    <numFmt numFmtId="168" formatCode="0.0\x;[RED]\(0.0&quot;x)&quot;;\-"/>
    <numFmt numFmtId="169" formatCode="0"/>
    <numFmt numFmtId="170" formatCode="0.0000\x"/>
    <numFmt numFmtId="171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46"/>
    <col collapsed="false" customWidth="true" hidden="false" outlineLevel="0" max="6" min="4" style="0" width="12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4</v>
      </c>
    </row>
    <row r="8" customFormat="false" ht="15" hidden="false" customHeight="false" outlineLevel="0" collapsed="false">
      <c r="B8" s="2" t="s">
        <v>8</v>
      </c>
      <c r="C8" s="3" t="s">
        <v>9</v>
      </c>
    </row>
    <row r="9" customFormat="false" ht="15" hidden="false" customHeight="false" outlineLevel="0" collapsed="false">
      <c r="B9" s="2" t="s">
        <v>10</v>
      </c>
      <c r="C9" s="4" t="s">
        <v>11</v>
      </c>
    </row>
    <row r="10" customFormat="false" ht="15" hidden="false" customHeight="false" outlineLevel="0" collapsed="false">
      <c r="B10" s="2" t="s">
        <v>12</v>
      </c>
      <c r="C10" s="3" t="s">
        <v>13</v>
      </c>
    </row>
    <row r="13" customFormat="false" ht="15" hidden="false" customHeight="false" outlineLevel="0" collapsed="false">
      <c r="B13" s="5" t="s">
        <v>14</v>
      </c>
      <c r="C13" s="5"/>
      <c r="D13" s="5"/>
      <c r="E13" s="5"/>
      <c r="F13" s="5"/>
    </row>
    <row r="14" customFormat="false" ht="15" hidden="false" customHeight="false" outlineLevel="0" collapsed="false">
      <c r="B14" s="6" t="s">
        <v>15</v>
      </c>
      <c r="C14" s="7" t="s">
        <v>16</v>
      </c>
    </row>
    <row r="15" customFormat="false" ht="15" hidden="false" customHeight="false" outlineLevel="0" collapsed="false">
      <c r="B15" s="2" t="s">
        <v>17</v>
      </c>
      <c r="C15" s="7" t="s">
        <v>18</v>
      </c>
    </row>
    <row r="16" customFormat="false" ht="15" hidden="false" customHeight="false" outlineLevel="0" collapsed="false">
      <c r="B16" s="8" t="s">
        <v>19</v>
      </c>
      <c r="C16" s="7" t="s">
        <v>20</v>
      </c>
    </row>
    <row r="17" customFormat="false" ht="15" hidden="false" customHeight="false" outlineLevel="0" collapsed="false">
      <c r="B17" s="2" t="s">
        <v>21</v>
      </c>
      <c r="C17" s="7" t="s">
        <v>22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5" min="3" style="0" width="15"/>
    <col collapsed="false" customWidth="true" hidden="false" outlineLevel="0" max="6" min="6" style="0" width="30"/>
  </cols>
  <sheetData>
    <row r="2" customFormat="false" ht="27.75" hidden="false" customHeight="true" outlineLevel="0" collapsed="false">
      <c r="B2" s="1" t="s">
        <v>23</v>
      </c>
      <c r="C2" s="1"/>
      <c r="D2" s="1"/>
      <c r="E2" s="1"/>
      <c r="F2" s="1"/>
    </row>
    <row r="4" customFormat="false" ht="15" hidden="false" customHeight="false" outlineLevel="0" collapsed="false">
      <c r="B4" s="9" t="s">
        <v>24</v>
      </c>
      <c r="C4" s="9" t="s">
        <v>11</v>
      </c>
      <c r="D4" s="9" t="s">
        <v>25</v>
      </c>
      <c r="E4" s="9" t="s">
        <v>26</v>
      </c>
      <c r="F4" s="9" t="s">
        <v>27</v>
      </c>
    </row>
    <row r="5" customFormat="false" ht="15" hidden="false" customHeight="false" outlineLevel="0" collapsed="false">
      <c r="B5" s="0" t="s">
        <v>28</v>
      </c>
      <c r="C5" s="10" t="n">
        <v>0.57</v>
      </c>
      <c r="D5" s="11" t="n">
        <v>0.78</v>
      </c>
      <c r="E5" s="12" t="n">
        <f aca="false">IF(Cover!$C$9="Downside",D5,C5)</f>
        <v>0.57</v>
      </c>
      <c r="F5" s="13" t="s">
        <v>29</v>
      </c>
    </row>
    <row r="6" customFormat="false" ht="15" hidden="false" customHeight="false" outlineLevel="0" collapsed="false">
      <c r="B6" s="0" t="s">
        <v>30</v>
      </c>
      <c r="C6" s="10" t="n">
        <v>0.28</v>
      </c>
      <c r="D6" s="11" t="n">
        <v>0.32</v>
      </c>
      <c r="E6" s="12" t="n">
        <f aca="false">IF(Cover!$C$9="Downside",D6,C6)</f>
        <v>0.28</v>
      </c>
      <c r="F6" s="13" t="s">
        <v>29</v>
      </c>
    </row>
    <row r="7" customFormat="false" ht="15" hidden="false" customHeight="false" outlineLevel="0" collapsed="false">
      <c r="B7" s="0" t="s">
        <v>31</v>
      </c>
      <c r="C7" s="11" t="n">
        <v>0.05</v>
      </c>
      <c r="D7" s="11" t="n">
        <v>-0.05</v>
      </c>
      <c r="E7" s="12" t="n">
        <f aca="false">IF(Cover!$C$9="Downside",D7,C7)</f>
        <v>0.05</v>
      </c>
      <c r="F7" s="13" t="s">
        <v>29</v>
      </c>
    </row>
    <row r="8" customFormat="false" ht="15" hidden="false" customHeight="false" outlineLevel="0" collapsed="false">
      <c r="B8" s="0" t="s">
        <v>32</v>
      </c>
      <c r="C8" s="11" t="n">
        <v>0.035</v>
      </c>
      <c r="D8" s="11" t="n">
        <v>0.075</v>
      </c>
      <c r="E8" s="12" t="n">
        <f aca="false">IF(Cover!$C$9="Downside",D8,C8)</f>
        <v>0.035</v>
      </c>
      <c r="F8" s="13" t="s">
        <v>29</v>
      </c>
    </row>
    <row r="9" customFormat="false" ht="15" hidden="false" customHeight="false" outlineLevel="0" collapsed="false">
      <c r="B9" s="0" t="s">
        <v>33</v>
      </c>
      <c r="C9" s="14" t="n">
        <v>0.045</v>
      </c>
      <c r="D9" s="14" t="n">
        <v>0.035</v>
      </c>
      <c r="E9" s="15" t="n">
        <f aca="false">IF(Cover!$C$9="Downside",D9,C9)</f>
        <v>0.045</v>
      </c>
      <c r="F9" s="13" t="s">
        <v>29</v>
      </c>
    </row>
    <row r="10" customFormat="false" ht="15" hidden="false" customHeight="false" outlineLevel="0" collapsed="false">
      <c r="B10" s="0" t="s">
        <v>34</v>
      </c>
      <c r="C10" s="11" t="n">
        <v>0.08</v>
      </c>
      <c r="D10" s="11" t="n">
        <v>0.15</v>
      </c>
      <c r="E10" s="12" t="n">
        <f aca="false">IF(Cover!$C$9="Downside",D10,C10)</f>
        <v>0.08</v>
      </c>
      <c r="F10" s="13" t="s">
        <v>29</v>
      </c>
    </row>
    <row r="11" customFormat="false" ht="15" hidden="false" customHeight="false" outlineLevel="0" collapsed="false">
      <c r="B11" s="0" t="s">
        <v>35</v>
      </c>
      <c r="C11" s="16" t="n">
        <v>47359</v>
      </c>
      <c r="D11" s="17" t="n">
        <v>500</v>
      </c>
      <c r="E11" s="18" t="n">
        <f aca="false">IF(Cover!$C$9="Downside",D11,C11)</f>
        <v>47359</v>
      </c>
      <c r="F11" s="13" t="s">
        <v>36</v>
      </c>
    </row>
    <row r="12" customFormat="false" ht="15" hidden="false" customHeight="false" outlineLevel="0" collapsed="false">
      <c r="B12" s="0" t="s">
        <v>37</v>
      </c>
      <c r="C12" s="17" t="n">
        <v>900</v>
      </c>
      <c r="D12" s="17" t="n">
        <v>900</v>
      </c>
      <c r="E12" s="18" t="n">
        <f aca="false">IF(Cover!$C$9="Downside",D12,C12)</f>
        <v>900</v>
      </c>
      <c r="F12" s="13" t="s">
        <v>36</v>
      </c>
    </row>
    <row r="13" customFormat="false" ht="15" hidden="false" customHeight="false" outlineLevel="0" collapsed="false">
      <c r="B13" s="0" t="s">
        <v>38</v>
      </c>
      <c r="C13" s="14" t="n">
        <v>0.04</v>
      </c>
      <c r="D13" s="14" t="n">
        <v>0.025</v>
      </c>
      <c r="E13" s="15" t="n">
        <f aca="false">IF(Cover!$C$9="Downside",D13,C13)</f>
        <v>0.04</v>
      </c>
      <c r="F13" s="13" t="s">
        <v>29</v>
      </c>
    </row>
    <row r="14" customFormat="false" ht="15" hidden="false" customHeight="false" outlineLevel="0" collapsed="false">
      <c r="B14" s="0" t="s">
        <v>39</v>
      </c>
      <c r="C14" s="16" t="n">
        <v>72000</v>
      </c>
      <c r="D14" s="17" t="n">
        <v>350</v>
      </c>
      <c r="E14" s="18" t="n">
        <f aca="false">IF(Cover!$C$9="Downside",D14,C14)</f>
        <v>72000</v>
      </c>
      <c r="F14" s="13" t="s">
        <v>36</v>
      </c>
    </row>
    <row r="15" customFormat="false" ht="15" hidden="false" customHeight="false" outlineLevel="0" collapsed="false">
      <c r="B15" s="0" t="s">
        <v>40</v>
      </c>
      <c r="C15" s="11" t="n">
        <v>0.18</v>
      </c>
      <c r="D15" s="11" t="n">
        <v>0.24</v>
      </c>
      <c r="E15" s="12" t="n">
        <f aca="false">IF(Cover!$C$9="Downside",D15,C15)</f>
        <v>0.18</v>
      </c>
      <c r="F15" s="13" t="s">
        <v>41</v>
      </c>
    </row>
    <row r="16" customFormat="false" ht="15" hidden="false" customHeight="false" outlineLevel="0" collapsed="false">
      <c r="B16" s="0" t="s">
        <v>42</v>
      </c>
      <c r="C16" s="11" t="n">
        <v>0.12</v>
      </c>
      <c r="D16" s="11" t="n">
        <v>0.18</v>
      </c>
      <c r="E16" s="12" t="n">
        <f aca="false">IF(Cover!$C$9="Downside",D16,C16)</f>
        <v>0.12</v>
      </c>
      <c r="F16" s="13" t="s">
        <v>43</v>
      </c>
    </row>
    <row r="17" customFormat="false" ht="15" hidden="false" customHeight="false" outlineLevel="0" collapsed="false">
      <c r="B17" s="0" t="s">
        <v>44</v>
      </c>
      <c r="C17" s="11" t="n">
        <v>0.08</v>
      </c>
      <c r="D17" s="11" t="n">
        <v>0.14</v>
      </c>
      <c r="E17" s="12" t="n">
        <f aca="false">IF(Cover!$C$9="Downside",D17,C17)</f>
        <v>0.08</v>
      </c>
      <c r="F17" s="13" t="s">
        <v>45</v>
      </c>
    </row>
    <row r="18" customFormat="false" ht="15" hidden="false" customHeight="false" outlineLevel="0" collapsed="false">
      <c r="B18" s="0" t="s">
        <v>46</v>
      </c>
      <c r="C18" s="19" t="n">
        <v>1.5</v>
      </c>
      <c r="D18" s="19" t="n">
        <v>1.5</v>
      </c>
      <c r="E18" s="20" t="n">
        <f aca="false">IF(Cover!$C$9="Downside",D18,C18)</f>
        <v>1.5</v>
      </c>
      <c r="F18" s="13" t="s">
        <v>47</v>
      </c>
    </row>
    <row r="19" customFormat="false" ht="15" hidden="false" customHeight="false" outlineLevel="0" collapsed="false">
      <c r="B19" s="0" t="s">
        <v>48</v>
      </c>
      <c r="C19" s="11" t="n">
        <v>0.1</v>
      </c>
      <c r="D19" s="11" t="n">
        <v>0.12</v>
      </c>
      <c r="E19" s="12" t="n">
        <f aca="false">IF(Cover!$C$9="Downside",D19,C19)</f>
        <v>0.1</v>
      </c>
      <c r="F19" s="13" t="s">
        <v>29</v>
      </c>
    </row>
    <row r="20" customFormat="false" ht="15" hidden="false" customHeight="false" outlineLevel="0" collapsed="false">
      <c r="B20" s="0" t="s">
        <v>49</v>
      </c>
      <c r="C20" s="21" t="n">
        <v>5</v>
      </c>
      <c r="D20" s="21" t="n">
        <v>5</v>
      </c>
      <c r="E20" s="22" t="n">
        <f aca="false">IF(Cover!$C$9="Downside",D20,C20)</f>
        <v>5</v>
      </c>
      <c r="F20" s="13" t="s">
        <v>50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12" min="3" style="0" width="13"/>
  </cols>
  <sheetData>
    <row r="2" customFormat="false" ht="27.75" hidden="false" customHeight="true" outlineLevel="0" collapsed="false">
      <c r="B2" s="1" t="s">
        <v>51</v>
      </c>
      <c r="C2" s="1"/>
      <c r="D2" s="1"/>
      <c r="E2" s="1"/>
      <c r="F2" s="1"/>
      <c r="G2" s="1"/>
      <c r="H2" s="1"/>
      <c r="I2" s="1"/>
      <c r="J2" s="1"/>
      <c r="K2" s="1"/>
      <c r="L2" s="1"/>
    </row>
    <row r="4" customFormat="false" ht="15" hidden="false" customHeight="false" outlineLevel="0" collapsed="false">
      <c r="B4" s="9" t="s">
        <v>52</v>
      </c>
      <c r="C4" s="9" t="s">
        <v>53</v>
      </c>
      <c r="D4" s="9" t="s">
        <v>54</v>
      </c>
      <c r="E4" s="9" t="s">
        <v>55</v>
      </c>
      <c r="F4" s="9" t="s">
        <v>56</v>
      </c>
      <c r="G4" s="9" t="s">
        <v>57</v>
      </c>
      <c r="H4" s="9" t="s">
        <v>58</v>
      </c>
      <c r="I4" s="9" t="s">
        <v>59</v>
      </c>
      <c r="J4" s="9" t="s">
        <v>60</v>
      </c>
      <c r="K4" s="9" t="s">
        <v>61</v>
      </c>
      <c r="L4" s="9" t="s">
        <v>62</v>
      </c>
    </row>
    <row r="5" customFormat="false" ht="15" hidden="false" customHeight="false" outlineLevel="0" collapsed="false">
      <c r="B5" s="0" t="n">
        <v>2017</v>
      </c>
      <c r="C5" s="17" t="n">
        <v>64.4</v>
      </c>
      <c r="D5" s="17" t="n">
        <v>110.4</v>
      </c>
      <c r="E5" s="17" t="n">
        <v>144.9</v>
      </c>
      <c r="F5" s="17" t="n">
        <v>167.9</v>
      </c>
      <c r="G5" s="17" t="n">
        <v>186.3</v>
      </c>
      <c r="H5" s="17" t="n">
        <v>200.1</v>
      </c>
      <c r="I5" s="17" t="n">
        <v>209.3</v>
      </c>
      <c r="J5" s="17" t="n">
        <v>216.2</v>
      </c>
      <c r="K5" s="17" t="n">
        <v>223.1</v>
      </c>
      <c r="L5" s="17" t="n">
        <v>230</v>
      </c>
    </row>
    <row r="6" customFormat="false" ht="15" hidden="false" customHeight="false" outlineLevel="0" collapsed="false">
      <c r="B6" s="0" t="n">
        <v>2018</v>
      </c>
      <c r="C6" s="17" t="n">
        <v>68.6</v>
      </c>
      <c r="D6" s="17" t="n">
        <v>117.6</v>
      </c>
      <c r="E6" s="17" t="n">
        <v>154.35</v>
      </c>
      <c r="F6" s="17" t="n">
        <v>178.85</v>
      </c>
      <c r="G6" s="17" t="n">
        <v>198.45</v>
      </c>
      <c r="H6" s="17" t="n">
        <v>213.15</v>
      </c>
      <c r="I6" s="17" t="n">
        <v>222.95</v>
      </c>
      <c r="J6" s="17" t="n">
        <v>230.3</v>
      </c>
      <c r="K6" s="17" t="n">
        <v>237.65</v>
      </c>
    </row>
    <row r="7" customFormat="false" ht="15" hidden="false" customHeight="false" outlineLevel="0" collapsed="false">
      <c r="B7" s="0" t="n">
        <v>2019</v>
      </c>
      <c r="C7" s="17" t="n">
        <v>71.4</v>
      </c>
      <c r="D7" s="17" t="n">
        <v>122.4</v>
      </c>
      <c r="E7" s="17" t="n">
        <v>160.65</v>
      </c>
      <c r="F7" s="17" t="n">
        <v>186.15</v>
      </c>
      <c r="G7" s="17" t="n">
        <v>206.55</v>
      </c>
      <c r="H7" s="17" t="n">
        <v>221.85</v>
      </c>
      <c r="I7" s="17" t="n">
        <v>232.05</v>
      </c>
      <c r="J7" s="17" t="n">
        <v>239.7</v>
      </c>
    </row>
    <row r="8" customFormat="false" ht="15" hidden="false" customHeight="false" outlineLevel="0" collapsed="false">
      <c r="B8" s="0" t="n">
        <v>2020</v>
      </c>
      <c r="C8" s="17" t="n">
        <v>75.6</v>
      </c>
      <c r="D8" s="17" t="n">
        <v>129.6</v>
      </c>
      <c r="E8" s="17" t="n">
        <v>170.1</v>
      </c>
      <c r="F8" s="17" t="n">
        <v>197.1</v>
      </c>
      <c r="G8" s="17" t="n">
        <v>218.7</v>
      </c>
      <c r="H8" s="17" t="n">
        <v>234.9</v>
      </c>
      <c r="I8" s="17" t="n">
        <v>245.7</v>
      </c>
    </row>
    <row r="9" customFormat="false" ht="15" hidden="false" customHeight="false" outlineLevel="0" collapsed="false">
      <c r="B9" s="0" t="n">
        <v>2021</v>
      </c>
      <c r="C9" s="17" t="n">
        <v>79.8</v>
      </c>
      <c r="D9" s="17" t="n">
        <v>136.8</v>
      </c>
      <c r="E9" s="17" t="n">
        <v>179.55</v>
      </c>
      <c r="F9" s="17" t="n">
        <v>208.05</v>
      </c>
      <c r="G9" s="17" t="n">
        <v>230.85</v>
      </c>
      <c r="H9" s="17" t="n">
        <v>247.95</v>
      </c>
    </row>
    <row r="10" customFormat="false" ht="15" hidden="false" customHeight="false" outlineLevel="0" collapsed="false">
      <c r="B10" s="0" t="n">
        <v>2022</v>
      </c>
      <c r="C10" s="17" t="n">
        <v>84</v>
      </c>
      <c r="D10" s="17" t="n">
        <v>144</v>
      </c>
      <c r="E10" s="17" t="n">
        <v>189</v>
      </c>
      <c r="F10" s="17" t="n">
        <v>219</v>
      </c>
      <c r="G10" s="17" t="n">
        <v>243</v>
      </c>
    </row>
    <row r="11" customFormat="false" ht="15" hidden="false" customHeight="false" outlineLevel="0" collapsed="false">
      <c r="B11" s="0" t="n">
        <v>2023</v>
      </c>
      <c r="C11" s="17" t="n">
        <v>89.6</v>
      </c>
      <c r="D11" s="17" t="n">
        <v>153.6</v>
      </c>
      <c r="E11" s="17" t="n">
        <v>201.6</v>
      </c>
      <c r="F11" s="17" t="n">
        <v>233.6</v>
      </c>
    </row>
    <row r="12" customFormat="false" ht="15" hidden="false" customHeight="false" outlineLevel="0" collapsed="false">
      <c r="B12" s="0" t="n">
        <v>2024</v>
      </c>
      <c r="C12" s="17" t="n">
        <v>93.8</v>
      </c>
      <c r="D12" s="17" t="n">
        <v>160.8</v>
      </c>
      <c r="E12" s="17" t="n">
        <v>211.05</v>
      </c>
    </row>
    <row r="13" customFormat="false" ht="15" hidden="false" customHeight="false" outlineLevel="0" collapsed="false">
      <c r="B13" s="0" t="n">
        <v>2025</v>
      </c>
      <c r="C13" s="17" t="n">
        <v>99.4</v>
      </c>
      <c r="D13" s="17" t="n">
        <v>170.4</v>
      </c>
    </row>
    <row r="14" customFormat="false" ht="15" hidden="false" customHeight="false" outlineLevel="0" collapsed="false">
      <c r="B14" s="0" t="n">
        <v>2026</v>
      </c>
      <c r="C14" s="17" t="n">
        <v>105</v>
      </c>
    </row>
  </sheetData>
  <mergeCells count="1">
    <mergeCell ref="B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14" min="3" style="0" width="13"/>
  </cols>
  <sheetData>
    <row r="2" customFormat="false" ht="27.75" hidden="false" customHeight="true" outlineLevel="0" collapsed="false">
      <c r="B2" s="1" t="s">
        <v>63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customFormat="false" ht="15" hidden="false" customHeight="false" outlineLevel="0" collapsed="false">
      <c r="B4" s="9" t="s">
        <v>64</v>
      </c>
      <c r="C4" s="9" t="s">
        <v>53</v>
      </c>
      <c r="D4" s="9" t="s">
        <v>54</v>
      </c>
      <c r="E4" s="9" t="s">
        <v>55</v>
      </c>
      <c r="F4" s="9" t="s">
        <v>56</v>
      </c>
      <c r="G4" s="9" t="s">
        <v>57</v>
      </c>
      <c r="H4" s="9" t="s">
        <v>58</v>
      </c>
      <c r="I4" s="9" t="s">
        <v>59</v>
      </c>
      <c r="J4" s="9" t="s">
        <v>60</v>
      </c>
      <c r="K4" s="9" t="s">
        <v>61</v>
      </c>
      <c r="L4" s="9" t="s">
        <v>62</v>
      </c>
      <c r="M4" s="9" t="s">
        <v>65</v>
      </c>
      <c r="N4" s="9" t="s">
        <v>66</v>
      </c>
    </row>
    <row r="5" customFormat="false" ht="15" hidden="false" customHeight="false" outlineLevel="0" collapsed="false">
      <c r="B5" s="0" t="s">
        <v>67</v>
      </c>
      <c r="C5" s="23" t="n">
        <f aca="false">IFERROR(SUM('Paid Triangle'!D5:D13)/SUM('Paid Triangle'!C5:C13),1)</f>
        <v>1.71428571428571</v>
      </c>
      <c r="D5" s="23" t="n">
        <f aca="false">IFERROR(SUM('Paid Triangle'!E5:E12)/SUM('Paid Triangle'!D5:D12),1)</f>
        <v>1.3125</v>
      </c>
      <c r="E5" s="23" t="n">
        <f aca="false">IFERROR(SUM('Paid Triangle'!F5:F11)/SUM('Paid Triangle'!E5:E11),1)</f>
        <v>1.15873015873016</v>
      </c>
      <c r="F5" s="23" t="n">
        <f aca="false">IFERROR(SUM('Paid Triangle'!G5:G10)/SUM('Paid Triangle'!F5:F10),1)</f>
        <v>1.10958904109589</v>
      </c>
      <c r="G5" s="23" t="n">
        <f aca="false">IFERROR(SUM('Paid Triangle'!H5:H9)/SUM('Paid Triangle'!G5:G9),1)</f>
        <v>1.07407407407407</v>
      </c>
      <c r="H5" s="23" t="n">
        <f aca="false">IFERROR(SUM('Paid Triangle'!I5:I8)/SUM('Paid Triangle'!H5:H8),1)</f>
        <v>1.04597701149425</v>
      </c>
      <c r="I5" s="23" t="n">
        <f aca="false">IFERROR(SUM('Paid Triangle'!J5:J7)/SUM('Paid Triangle'!I5:I7),1)</f>
        <v>1.03296703296703</v>
      </c>
      <c r="J5" s="23" t="n">
        <f aca="false">IFERROR(SUM('Paid Triangle'!K5:K6)/SUM('Paid Triangle'!J5:J6),1)</f>
        <v>1.03191489361702</v>
      </c>
      <c r="K5" s="23" t="n">
        <f aca="false">IFERROR(SUM('Paid Triangle'!L5:L5)/SUM('Paid Triangle'!K5:K5),1)</f>
        <v>1.03092783505155</v>
      </c>
      <c r="L5" s="23" t="n">
        <v>1</v>
      </c>
    </row>
    <row r="6" customFormat="false" ht="15" hidden="false" customHeight="false" outlineLevel="0" collapsed="false">
      <c r="B6" s="0" t="s">
        <v>68</v>
      </c>
      <c r="C6" s="23" t="n">
        <f aca="false">PRODUCT(C$5:$K$5)</f>
        <v>3.57142857142857</v>
      </c>
      <c r="D6" s="23" t="n">
        <f aca="false">PRODUCT(D$5:$K$5)</f>
        <v>2.08333333333333</v>
      </c>
      <c r="E6" s="23" t="n">
        <f aca="false">PRODUCT(E$5:$K$5)</f>
        <v>1.58730158730159</v>
      </c>
      <c r="F6" s="23" t="n">
        <f aca="false">PRODUCT(F$5:$K$5)</f>
        <v>1.36986301369863</v>
      </c>
      <c r="G6" s="23" t="n">
        <f aca="false">PRODUCT(G$5:$K$5)</f>
        <v>1.23456790123457</v>
      </c>
      <c r="H6" s="23" t="n">
        <f aca="false">PRODUCT(H$5:$K$5)</f>
        <v>1.14942528735632</v>
      </c>
      <c r="I6" s="23" t="n">
        <f aca="false">PRODUCT(I$5:$K$5)</f>
        <v>1.0989010989011</v>
      </c>
      <c r="J6" s="23" t="n">
        <f aca="false">PRODUCT(J$5:$K$5)</f>
        <v>1.06382978723404</v>
      </c>
      <c r="K6" s="23" t="n">
        <f aca="false">PRODUCT(K$5:$K$5)</f>
        <v>1.03092783505155</v>
      </c>
      <c r="L6" s="23" t="n">
        <f aca="false">PRODUCT(L$5:$K$5)</f>
        <v>1.03092783505155</v>
      </c>
    </row>
    <row r="8" customFormat="false" ht="15" hidden="false" customHeight="false" outlineLevel="0" collapsed="false">
      <c r="B8" s="0" t="n">
        <f aca="false">'Paid Triangle'!B5</f>
        <v>2017</v>
      </c>
      <c r="C8" s="18" t="n">
        <f aca="false">'Paid Triangle'!C5</f>
        <v>64.4</v>
      </c>
      <c r="D8" s="18" t="n">
        <f aca="false">'Paid Triangle'!D5</f>
        <v>110.4</v>
      </c>
      <c r="E8" s="18" t="n">
        <f aca="false">'Paid Triangle'!E5</f>
        <v>144.9</v>
      </c>
      <c r="F8" s="18" t="n">
        <f aca="false">'Paid Triangle'!F5</f>
        <v>167.9</v>
      </c>
      <c r="G8" s="18" t="n">
        <f aca="false">'Paid Triangle'!G5</f>
        <v>186.3</v>
      </c>
      <c r="H8" s="18" t="n">
        <f aca="false">'Paid Triangle'!H5</f>
        <v>200.1</v>
      </c>
      <c r="I8" s="18" t="n">
        <f aca="false">'Paid Triangle'!I5</f>
        <v>209.3</v>
      </c>
      <c r="J8" s="18" t="n">
        <f aca="false">'Paid Triangle'!J5</f>
        <v>216.2</v>
      </c>
      <c r="K8" s="18" t="n">
        <f aca="false">'Paid Triangle'!K5</f>
        <v>223.1</v>
      </c>
      <c r="L8" s="18" t="n">
        <f aca="false">'Paid Triangle'!L5</f>
        <v>230</v>
      </c>
      <c r="M8" s="18" t="n">
        <f aca="false">'Paid Triangle'!L5*L$6</f>
        <v>237.113402061856</v>
      </c>
      <c r="N8" s="18" t="n">
        <f aca="false">M8-'Paid Triangle'!L5</f>
        <v>7.11340206185571</v>
      </c>
    </row>
    <row r="9" customFormat="false" ht="15" hidden="false" customHeight="false" outlineLevel="0" collapsed="false">
      <c r="B9" s="0" t="n">
        <f aca="false">'Paid Triangle'!B6</f>
        <v>2018</v>
      </c>
      <c r="C9" s="18" t="n">
        <f aca="false">'Paid Triangle'!C6</f>
        <v>68.6</v>
      </c>
      <c r="D9" s="18" t="n">
        <f aca="false">'Paid Triangle'!D6</f>
        <v>117.6</v>
      </c>
      <c r="E9" s="18" t="n">
        <f aca="false">'Paid Triangle'!E6</f>
        <v>154.35</v>
      </c>
      <c r="F9" s="18" t="n">
        <f aca="false">'Paid Triangle'!F6</f>
        <v>178.85</v>
      </c>
      <c r="G9" s="18" t="n">
        <f aca="false">'Paid Triangle'!G6</f>
        <v>198.45</v>
      </c>
      <c r="H9" s="18" t="n">
        <f aca="false">'Paid Triangle'!H6</f>
        <v>213.15</v>
      </c>
      <c r="I9" s="18" t="n">
        <f aca="false">'Paid Triangle'!I6</f>
        <v>222.95</v>
      </c>
      <c r="J9" s="18" t="n">
        <f aca="false">'Paid Triangle'!J6</f>
        <v>230.3</v>
      </c>
      <c r="K9" s="18" t="n">
        <f aca="false">'Paid Triangle'!K6</f>
        <v>237.65</v>
      </c>
      <c r="M9" s="18" t="n">
        <f aca="false">'Paid Triangle'!K6*K$6</f>
        <v>245</v>
      </c>
      <c r="N9" s="18" t="n">
        <f aca="false">M9-'Paid Triangle'!K6</f>
        <v>7.35000000000002</v>
      </c>
    </row>
    <row r="10" customFormat="false" ht="15" hidden="false" customHeight="false" outlineLevel="0" collapsed="false">
      <c r="B10" s="0" t="n">
        <f aca="false">'Paid Triangle'!B7</f>
        <v>2019</v>
      </c>
      <c r="C10" s="18" t="n">
        <f aca="false">'Paid Triangle'!C7</f>
        <v>71.4</v>
      </c>
      <c r="D10" s="18" t="n">
        <f aca="false">'Paid Triangle'!D7</f>
        <v>122.4</v>
      </c>
      <c r="E10" s="18" t="n">
        <f aca="false">'Paid Triangle'!E7</f>
        <v>160.65</v>
      </c>
      <c r="F10" s="18" t="n">
        <f aca="false">'Paid Triangle'!F7</f>
        <v>186.15</v>
      </c>
      <c r="G10" s="18" t="n">
        <f aca="false">'Paid Triangle'!G7</f>
        <v>206.55</v>
      </c>
      <c r="H10" s="18" t="n">
        <f aca="false">'Paid Triangle'!H7</f>
        <v>221.85</v>
      </c>
      <c r="I10" s="18" t="n">
        <f aca="false">'Paid Triangle'!I7</f>
        <v>232.05</v>
      </c>
      <c r="J10" s="18" t="n">
        <f aca="false">'Paid Triangle'!J7</f>
        <v>239.7</v>
      </c>
      <c r="M10" s="18" t="n">
        <f aca="false">'Paid Triangle'!J7*J$6</f>
        <v>255</v>
      </c>
      <c r="N10" s="18" t="n">
        <f aca="false">M10-'Paid Triangle'!J7</f>
        <v>15.3</v>
      </c>
    </row>
    <row r="11" customFormat="false" ht="15" hidden="false" customHeight="false" outlineLevel="0" collapsed="false">
      <c r="B11" s="0" t="n">
        <f aca="false">'Paid Triangle'!B8</f>
        <v>2020</v>
      </c>
      <c r="C11" s="18" t="n">
        <f aca="false">'Paid Triangle'!C8</f>
        <v>75.6</v>
      </c>
      <c r="D11" s="18" t="n">
        <f aca="false">'Paid Triangle'!D8</f>
        <v>129.6</v>
      </c>
      <c r="E11" s="18" t="n">
        <f aca="false">'Paid Triangle'!E8</f>
        <v>170.1</v>
      </c>
      <c r="F11" s="18" t="n">
        <f aca="false">'Paid Triangle'!F8</f>
        <v>197.1</v>
      </c>
      <c r="G11" s="18" t="n">
        <f aca="false">'Paid Triangle'!G8</f>
        <v>218.7</v>
      </c>
      <c r="H11" s="18" t="n">
        <f aca="false">'Paid Triangle'!H8</f>
        <v>234.9</v>
      </c>
      <c r="I11" s="18" t="n">
        <f aca="false">'Paid Triangle'!I8</f>
        <v>245.7</v>
      </c>
      <c r="M11" s="18" t="n">
        <f aca="false">'Paid Triangle'!I8*I$6</f>
        <v>270</v>
      </c>
      <c r="N11" s="18" t="n">
        <f aca="false">M11-'Paid Triangle'!I8</f>
        <v>24.3</v>
      </c>
    </row>
    <row r="12" customFormat="false" ht="15" hidden="false" customHeight="false" outlineLevel="0" collapsed="false">
      <c r="B12" s="0" t="n">
        <f aca="false">'Paid Triangle'!B9</f>
        <v>2021</v>
      </c>
      <c r="C12" s="18" t="n">
        <f aca="false">'Paid Triangle'!C9</f>
        <v>79.8</v>
      </c>
      <c r="D12" s="18" t="n">
        <f aca="false">'Paid Triangle'!D9</f>
        <v>136.8</v>
      </c>
      <c r="E12" s="18" t="n">
        <f aca="false">'Paid Triangle'!E9</f>
        <v>179.55</v>
      </c>
      <c r="F12" s="18" t="n">
        <f aca="false">'Paid Triangle'!F9</f>
        <v>208.05</v>
      </c>
      <c r="G12" s="18" t="n">
        <f aca="false">'Paid Triangle'!G9</f>
        <v>230.85</v>
      </c>
      <c r="H12" s="18" t="n">
        <f aca="false">'Paid Triangle'!H9</f>
        <v>247.95</v>
      </c>
      <c r="M12" s="18" t="n">
        <f aca="false">'Paid Triangle'!H9*H$6</f>
        <v>285</v>
      </c>
      <c r="N12" s="18" t="n">
        <f aca="false">M12-'Paid Triangle'!H9</f>
        <v>37.05</v>
      </c>
    </row>
    <row r="13" customFormat="false" ht="15" hidden="false" customHeight="false" outlineLevel="0" collapsed="false">
      <c r="B13" s="0" t="n">
        <f aca="false">'Paid Triangle'!B10</f>
        <v>2022</v>
      </c>
      <c r="C13" s="18" t="n">
        <f aca="false">'Paid Triangle'!C10</f>
        <v>84</v>
      </c>
      <c r="D13" s="18" t="n">
        <f aca="false">'Paid Triangle'!D10</f>
        <v>144</v>
      </c>
      <c r="E13" s="18" t="n">
        <f aca="false">'Paid Triangle'!E10</f>
        <v>189</v>
      </c>
      <c r="F13" s="18" t="n">
        <f aca="false">'Paid Triangle'!F10</f>
        <v>219</v>
      </c>
      <c r="G13" s="18" t="n">
        <f aca="false">'Paid Triangle'!G10</f>
        <v>243</v>
      </c>
      <c r="M13" s="18" t="n">
        <f aca="false">'Paid Triangle'!G10*G$6</f>
        <v>300</v>
      </c>
      <c r="N13" s="18" t="n">
        <f aca="false">M13-'Paid Triangle'!G10</f>
        <v>57.0000000000001</v>
      </c>
    </row>
    <row r="14" customFormat="false" ht="15" hidden="false" customHeight="false" outlineLevel="0" collapsed="false">
      <c r="B14" s="0" t="n">
        <f aca="false">'Paid Triangle'!B11</f>
        <v>2023</v>
      </c>
      <c r="C14" s="18" t="n">
        <f aca="false">'Paid Triangle'!C11</f>
        <v>89.6</v>
      </c>
      <c r="D14" s="18" t="n">
        <f aca="false">'Paid Triangle'!D11</f>
        <v>153.6</v>
      </c>
      <c r="E14" s="18" t="n">
        <f aca="false">'Paid Triangle'!E11</f>
        <v>201.6</v>
      </c>
      <c r="F14" s="18" t="n">
        <f aca="false">'Paid Triangle'!F11</f>
        <v>233.6</v>
      </c>
      <c r="M14" s="18" t="n">
        <f aca="false">'Paid Triangle'!F11*F$6</f>
        <v>320</v>
      </c>
      <c r="N14" s="18" t="n">
        <f aca="false">M14-'Paid Triangle'!F11</f>
        <v>86.4000000000001</v>
      </c>
    </row>
    <row r="15" customFormat="false" ht="15" hidden="false" customHeight="false" outlineLevel="0" collapsed="false">
      <c r="B15" s="0" t="n">
        <f aca="false">'Paid Triangle'!B12</f>
        <v>2024</v>
      </c>
      <c r="C15" s="18" t="n">
        <f aca="false">'Paid Triangle'!C12</f>
        <v>93.8</v>
      </c>
      <c r="D15" s="18" t="n">
        <f aca="false">'Paid Triangle'!D12</f>
        <v>160.8</v>
      </c>
      <c r="E15" s="18" t="n">
        <f aca="false">'Paid Triangle'!E12</f>
        <v>211.05</v>
      </c>
      <c r="M15" s="18" t="n">
        <f aca="false">'Paid Triangle'!E12*E$6</f>
        <v>335</v>
      </c>
      <c r="N15" s="18" t="n">
        <f aca="false">M15-'Paid Triangle'!E12</f>
        <v>123.95</v>
      </c>
    </row>
    <row r="16" customFormat="false" ht="15" hidden="false" customHeight="false" outlineLevel="0" collapsed="false">
      <c r="B16" s="0" t="n">
        <f aca="false">'Paid Triangle'!B13</f>
        <v>2025</v>
      </c>
      <c r="C16" s="18" t="n">
        <f aca="false">'Paid Triangle'!C13</f>
        <v>99.4</v>
      </c>
      <c r="D16" s="18" t="n">
        <f aca="false">'Paid Triangle'!D13</f>
        <v>170.4</v>
      </c>
      <c r="M16" s="18" t="n">
        <f aca="false">'Paid Triangle'!D13*D$6</f>
        <v>355</v>
      </c>
      <c r="N16" s="18" t="n">
        <f aca="false">M16-'Paid Triangle'!D13</f>
        <v>184.6</v>
      </c>
    </row>
    <row r="17" customFormat="false" ht="15" hidden="false" customHeight="false" outlineLevel="0" collapsed="false">
      <c r="B17" s="0" t="n">
        <f aca="false">'Paid Triangle'!B14</f>
        <v>2026</v>
      </c>
      <c r="C17" s="18" t="n">
        <f aca="false">'Paid Triangle'!C14</f>
        <v>105</v>
      </c>
      <c r="M17" s="18" t="n">
        <f aca="false">'Paid Triangle'!C14*C$6</f>
        <v>375</v>
      </c>
      <c r="N17" s="18" t="n">
        <f aca="false">M17-'Paid Triangle'!C14</f>
        <v>270</v>
      </c>
    </row>
    <row r="18" customFormat="false" ht="15" hidden="false" customHeight="false" outlineLevel="0" collapsed="false">
      <c r="B18" s="24" t="s">
        <v>69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 t="n">
        <f aca="false">SUM(M8:M17)</f>
        <v>2977.11340206186</v>
      </c>
      <c r="N18" s="25" t="n">
        <f aca="false">SUM(N8:N17)</f>
        <v>813.063402061856</v>
      </c>
    </row>
  </sheetData>
  <mergeCells count="1">
    <mergeCell ref="B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8" min="6" style="0" width="18"/>
  </cols>
  <sheetData>
    <row r="2" customFormat="false" ht="27.75" hidden="false" customHeight="true" outlineLevel="0" collapsed="false">
      <c r="B2" s="1" t="s">
        <v>70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9" t="s">
        <v>52</v>
      </c>
      <c r="C4" s="9" t="s">
        <v>71</v>
      </c>
      <c r="D4" s="9" t="s">
        <v>72</v>
      </c>
      <c r="E4" s="9" t="s">
        <v>73</v>
      </c>
      <c r="F4" s="9" t="s">
        <v>74</v>
      </c>
      <c r="G4" s="9" t="s">
        <v>75</v>
      </c>
      <c r="H4" s="9" t="s">
        <v>76</v>
      </c>
    </row>
    <row r="5" customFormat="false" ht="15" hidden="false" customHeight="false" outlineLevel="0" collapsed="false">
      <c r="B5" s="0" t="n">
        <f aca="false">'Chain Ladder'!B8</f>
        <v>2017</v>
      </c>
      <c r="C5" s="17" t="n">
        <v>400</v>
      </c>
      <c r="D5" s="18" t="n">
        <f aca="false">C5*Assumptions!$E$5*(1+Assumptions!$E$8)^0</f>
        <v>228</v>
      </c>
      <c r="E5" s="15" t="n">
        <f aca="false">1/'Chain Ladder'!L$6</f>
        <v>0.97</v>
      </c>
      <c r="F5" s="18" t="n">
        <f aca="false">'Paid Triangle'!L5</f>
        <v>230</v>
      </c>
      <c r="G5" s="18" t="n">
        <f aca="false">F5+D5*(1-E5)</f>
        <v>236.84</v>
      </c>
      <c r="H5" s="18" t="n">
        <f aca="false">G5-F5</f>
        <v>6.84000000000003</v>
      </c>
    </row>
    <row r="6" customFormat="false" ht="15" hidden="false" customHeight="false" outlineLevel="0" collapsed="false">
      <c r="B6" s="0" t="n">
        <f aca="false">'Chain Ladder'!B9</f>
        <v>2018</v>
      </c>
      <c r="C6" s="17" t="n">
        <v>425</v>
      </c>
      <c r="D6" s="18" t="n">
        <f aca="false">C6*Assumptions!$E$5*(1+Assumptions!$E$8)^1</f>
        <v>250.72875</v>
      </c>
      <c r="E6" s="15" t="n">
        <f aca="false">1/'Chain Ladder'!K$6</f>
        <v>0.97</v>
      </c>
      <c r="F6" s="18" t="n">
        <f aca="false">'Paid Triangle'!K6</f>
        <v>237.65</v>
      </c>
      <c r="G6" s="18" t="n">
        <f aca="false">F6+D6*(1-E6)</f>
        <v>245.1718625</v>
      </c>
      <c r="H6" s="18" t="n">
        <f aca="false">G6-F6</f>
        <v>7.52186250000003</v>
      </c>
    </row>
    <row r="7" customFormat="false" ht="15" hidden="false" customHeight="false" outlineLevel="0" collapsed="false">
      <c r="B7" s="0" t="n">
        <f aca="false">'Chain Ladder'!B10</f>
        <v>2019</v>
      </c>
      <c r="C7" s="17" t="n">
        <v>450</v>
      </c>
      <c r="D7" s="18" t="n">
        <f aca="false">C7*Assumptions!$E$5*(1+Assumptions!$E$8)^2</f>
        <v>274.7692125</v>
      </c>
      <c r="E7" s="15" t="n">
        <f aca="false">1/'Chain Ladder'!J$6</f>
        <v>0.94</v>
      </c>
      <c r="F7" s="18" t="n">
        <f aca="false">'Paid Triangle'!J7</f>
        <v>239.7</v>
      </c>
      <c r="G7" s="18" t="n">
        <f aca="false">F7+D7*(1-E7)</f>
        <v>256.18615275</v>
      </c>
      <c r="H7" s="18" t="n">
        <f aca="false">G7-F7</f>
        <v>16.48615275</v>
      </c>
    </row>
    <row r="8" customFormat="false" ht="15" hidden="false" customHeight="false" outlineLevel="0" collapsed="false">
      <c r="B8" s="0" t="n">
        <f aca="false">'Chain Ladder'!B11</f>
        <v>2020</v>
      </c>
      <c r="C8" s="17" t="n">
        <v>475</v>
      </c>
      <c r="D8" s="18" t="n">
        <f aca="false">C8*Assumptions!$E$5*(1+Assumptions!$E$8)^3</f>
        <v>300.18536465625</v>
      </c>
      <c r="E8" s="15" t="n">
        <f aca="false">1/'Chain Ladder'!I$6</f>
        <v>0.91</v>
      </c>
      <c r="F8" s="18" t="n">
        <f aca="false">'Paid Triangle'!I8</f>
        <v>245.7</v>
      </c>
      <c r="G8" s="18" t="n">
        <f aca="false">F8+D8*(1-E8)</f>
        <v>272.716682819063</v>
      </c>
      <c r="H8" s="18" t="n">
        <f aca="false">G8-F8</f>
        <v>27.0166828190625</v>
      </c>
    </row>
    <row r="9" customFormat="false" ht="15" hidden="false" customHeight="false" outlineLevel="0" collapsed="false">
      <c r="B9" s="0" t="n">
        <f aca="false">'Chain Ladder'!B12</f>
        <v>2021</v>
      </c>
      <c r="C9" s="17" t="n">
        <v>500</v>
      </c>
      <c r="D9" s="18" t="n">
        <f aca="false">C9*Assumptions!$E$5*(1+Assumptions!$E$8)^4</f>
        <v>327.044055178125</v>
      </c>
      <c r="E9" s="15" t="n">
        <f aca="false">1/'Chain Ladder'!H$6</f>
        <v>0.87</v>
      </c>
      <c r="F9" s="18" t="n">
        <f aca="false">'Paid Triangle'!H9</f>
        <v>247.95</v>
      </c>
      <c r="G9" s="18" t="n">
        <f aca="false">F9+D9*(1-E9)</f>
        <v>290.465727173156</v>
      </c>
      <c r="H9" s="18" t="n">
        <f aca="false">G9-F9</f>
        <v>42.5157271731563</v>
      </c>
    </row>
    <row r="10" customFormat="false" ht="15" hidden="false" customHeight="false" outlineLevel="0" collapsed="false">
      <c r="B10" s="0" t="n">
        <f aca="false">'Chain Ladder'!B13</f>
        <v>2022</v>
      </c>
      <c r="C10" s="17" t="n">
        <v>525</v>
      </c>
      <c r="D10" s="18" t="n">
        <f aca="false">C10*Assumptions!$E$5*(1+Assumptions!$E$8)^5</f>
        <v>355.415126964827</v>
      </c>
      <c r="E10" s="15" t="n">
        <f aca="false">1/'Chain Ladder'!G$6</f>
        <v>0.81</v>
      </c>
      <c r="F10" s="18" t="n">
        <f aca="false">'Paid Triangle'!G10</f>
        <v>243</v>
      </c>
      <c r="G10" s="18" t="n">
        <f aca="false">F10+D10*(1-E10)</f>
        <v>310.528874123317</v>
      </c>
      <c r="H10" s="18" t="n">
        <f aca="false">G10-F10</f>
        <v>67.5288741233173</v>
      </c>
    </row>
    <row r="11" customFormat="false" ht="15" hidden="false" customHeight="false" outlineLevel="0" collapsed="false">
      <c r="B11" s="0" t="n">
        <f aca="false">'Chain Ladder'!B14</f>
        <v>2023</v>
      </c>
      <c r="C11" s="17" t="n">
        <v>550</v>
      </c>
      <c r="D11" s="18" t="n">
        <f aca="false">C11*Assumptions!$E$5*(1+Assumptions!$E$8)^6</f>
        <v>385.371544809005</v>
      </c>
      <c r="E11" s="15" t="n">
        <f aca="false">1/'Chain Ladder'!F$6</f>
        <v>0.73</v>
      </c>
      <c r="F11" s="18" t="n">
        <f aca="false">'Paid Triangle'!F11</f>
        <v>233.6</v>
      </c>
      <c r="G11" s="18" t="n">
        <f aca="false">F11+D11*(1-E11)</f>
        <v>337.650317098432</v>
      </c>
      <c r="H11" s="18" t="n">
        <f aca="false">G11-F11</f>
        <v>104.050317098432</v>
      </c>
    </row>
    <row r="12" customFormat="false" ht="15" hidden="false" customHeight="false" outlineLevel="0" collapsed="false">
      <c r="B12" s="0" t="n">
        <f aca="false">'Chain Ladder'!B15</f>
        <v>2024</v>
      </c>
      <c r="C12" s="17" t="n">
        <v>575</v>
      </c>
      <c r="D12" s="18" t="n">
        <f aca="false">C12*Assumptions!$E$5*(1+Assumptions!$E$8)^7</f>
        <v>416.989528371744</v>
      </c>
      <c r="E12" s="15" t="n">
        <f aca="false">1/'Chain Ladder'!E$6</f>
        <v>0.63</v>
      </c>
      <c r="F12" s="18" t="n">
        <f aca="false">'Paid Triangle'!E12</f>
        <v>211.05</v>
      </c>
      <c r="G12" s="18" t="n">
        <f aca="false">F12+D12*(1-E12)</f>
        <v>365.336125497545</v>
      </c>
      <c r="H12" s="18" t="n">
        <f aca="false">G12-F12</f>
        <v>154.286125497545</v>
      </c>
    </row>
    <row r="13" customFormat="false" ht="15" hidden="false" customHeight="false" outlineLevel="0" collapsed="false">
      <c r="B13" s="0" t="n">
        <f aca="false">'Chain Ladder'!B16</f>
        <v>2025</v>
      </c>
      <c r="C13" s="17" t="n">
        <v>600</v>
      </c>
      <c r="D13" s="18" t="n">
        <f aca="false">C13*Assumptions!$E$5*(1+Assumptions!$E$8)^8</f>
        <v>450.348690641484</v>
      </c>
      <c r="E13" s="15" t="n">
        <f aca="false">1/'Chain Ladder'!D$6</f>
        <v>0.48</v>
      </c>
      <c r="F13" s="18" t="n">
        <f aca="false">'Paid Triangle'!D13</f>
        <v>170.4</v>
      </c>
      <c r="G13" s="18" t="n">
        <f aca="false">F13+D13*(1-E13)</f>
        <v>404.581319133572</v>
      </c>
      <c r="H13" s="18" t="n">
        <f aca="false">G13-F13</f>
        <v>234.181319133572</v>
      </c>
    </row>
    <row r="14" customFormat="false" ht="15" hidden="false" customHeight="false" outlineLevel="0" collapsed="false">
      <c r="B14" s="0" t="n">
        <f aca="false">'Chain Ladder'!B17</f>
        <v>2026</v>
      </c>
      <c r="C14" s="17" t="n">
        <v>625</v>
      </c>
      <c r="D14" s="18" t="n">
        <f aca="false">C14*Assumptions!$E$5*(1+Assumptions!$E$8)^9</f>
        <v>485.53218209785</v>
      </c>
      <c r="E14" s="15" t="n">
        <f aca="false">1/'Chain Ladder'!C$6</f>
        <v>0.28</v>
      </c>
      <c r="F14" s="18" t="n">
        <f aca="false">'Paid Triangle'!C14</f>
        <v>105</v>
      </c>
      <c r="G14" s="18" t="n">
        <f aca="false">F14+D14*(1-E14)</f>
        <v>454.583171110452</v>
      </c>
      <c r="H14" s="18" t="n">
        <f aca="false">G14-F14</f>
        <v>349.583171110452</v>
      </c>
    </row>
    <row r="15" customFormat="false" ht="15" hidden="false" customHeight="false" outlineLevel="0" collapsed="false">
      <c r="B15" s="24" t="s">
        <v>69</v>
      </c>
      <c r="C15" s="25" t="n">
        <f aca="false">SUM(C5:C14)</f>
        <v>5125</v>
      </c>
      <c r="D15" s="25" t="n">
        <f aca="false">SUM(D5:D14)</f>
        <v>3474.38445521929</v>
      </c>
      <c r="E15" s="25"/>
      <c r="F15" s="25" t="n">
        <f aca="false">SUM(F5:F14)</f>
        <v>2164.05</v>
      </c>
      <c r="G15" s="25" t="n">
        <f aca="false">SUM(G5:G14)</f>
        <v>3174.06023220554</v>
      </c>
      <c r="H15" s="25" t="n">
        <f aca="false">SUM(H5:H14)</f>
        <v>1010.01023220554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7" min="3" style="0" width="15"/>
  </cols>
  <sheetData>
    <row r="2" customFormat="false" ht="27.75" hidden="false" customHeight="true" outlineLevel="0" collapsed="false">
      <c r="B2" s="1" t="s">
        <v>77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9" t="s">
        <v>78</v>
      </c>
      <c r="C4" s="9" t="s">
        <v>79</v>
      </c>
      <c r="D4" s="9" t="s">
        <v>80</v>
      </c>
      <c r="E4" s="9" t="s">
        <v>81</v>
      </c>
      <c r="F4" s="9" t="s">
        <v>82</v>
      </c>
      <c r="G4" s="9" t="s">
        <v>83</v>
      </c>
    </row>
    <row r="5" customFormat="false" ht="15" hidden="false" customHeight="false" outlineLevel="0" collapsed="false">
      <c r="B5" s="0" t="s">
        <v>71</v>
      </c>
      <c r="C5" s="18" t="n">
        <f aca="false">Assumptions!E11</f>
        <v>47359</v>
      </c>
      <c r="D5" s="18" t="n">
        <f aca="false">C5*(1+Assumptions!$E$7)</f>
        <v>49726.95</v>
      </c>
      <c r="E5" s="18" t="n">
        <f aca="false">D5*(1+Assumptions!$E$7)</f>
        <v>52213.2975</v>
      </c>
      <c r="F5" s="18" t="n">
        <f aca="false">E5*(1+Assumptions!$E$7)</f>
        <v>54823.962375</v>
      </c>
      <c r="G5" s="18" t="n">
        <f aca="false">F5*(1+Assumptions!$E$7)</f>
        <v>57565.16049375</v>
      </c>
    </row>
    <row r="6" customFormat="false" ht="15" hidden="false" customHeight="false" outlineLevel="0" collapsed="false">
      <c r="B6" s="0" t="s">
        <v>84</v>
      </c>
      <c r="C6" s="18" t="n">
        <f aca="false">C5*Assumptions!$E$5*(1+Assumptions!$E$8)^0</f>
        <v>26994.63</v>
      </c>
      <c r="D6" s="18" t="n">
        <f aca="false">D5*Assumptions!$E$5*(1+Assumptions!$E$8)^1</f>
        <v>29336.4141525</v>
      </c>
      <c r="E6" s="18" t="n">
        <f aca="false">E5*Assumptions!$E$5*(1+Assumptions!$E$8)^2</f>
        <v>31881.3480802294</v>
      </c>
      <c r="F6" s="18" t="n">
        <f aca="false">F5*Assumptions!$E$5*(1+Assumptions!$E$8)^3</f>
        <v>34647.0550261893</v>
      </c>
      <c r="G6" s="18" t="n">
        <f aca="false">G5*Assumptions!$E$5*(1+Assumptions!$E$8)^4</f>
        <v>37652.6870497112</v>
      </c>
    </row>
    <row r="7" customFormat="false" ht="15" hidden="false" customHeight="false" outlineLevel="0" collapsed="false">
      <c r="B7" s="0" t="s">
        <v>85</v>
      </c>
      <c r="C7" s="18" t="n">
        <f aca="false">C5*Assumptions!$E$6</f>
        <v>13260.52</v>
      </c>
      <c r="D7" s="18" t="n">
        <f aca="false">D5*Assumptions!$E$6</f>
        <v>13923.546</v>
      </c>
      <c r="E7" s="18" t="n">
        <f aca="false">E5*Assumptions!$E$6</f>
        <v>14619.7233</v>
      </c>
      <c r="F7" s="18" t="n">
        <f aca="false">F5*Assumptions!$E$6</f>
        <v>15350.709465</v>
      </c>
      <c r="G7" s="18" t="n">
        <f aca="false">G5*Assumptions!$E$6</f>
        <v>16118.24493825</v>
      </c>
    </row>
    <row r="8" customFormat="false" ht="15" hidden="false" customHeight="false" outlineLevel="0" collapsed="false">
      <c r="B8" s="24" t="s">
        <v>86</v>
      </c>
      <c r="C8" s="25" t="n">
        <f aca="false">C5-C6-C7</f>
        <v>7103.85</v>
      </c>
      <c r="D8" s="25" t="n">
        <f aca="false">D5-D6-D7</f>
        <v>6466.9898475</v>
      </c>
      <c r="E8" s="25" t="n">
        <f aca="false">E5-E6-E7</f>
        <v>5712.22611977063</v>
      </c>
      <c r="F8" s="25" t="n">
        <f aca="false">F5-F6-F7</f>
        <v>4826.19788381074</v>
      </c>
      <c r="G8" s="25" t="n">
        <f aca="false">G5-G6-G7</f>
        <v>3794.22850578882</v>
      </c>
    </row>
    <row r="9" customFormat="false" ht="15" hidden="false" customHeight="false" outlineLevel="0" collapsed="false">
      <c r="B9" s="0" t="s">
        <v>87</v>
      </c>
      <c r="C9" s="15" t="n">
        <f aca="false">IFERROR(C6/C5,0)</f>
        <v>0.57</v>
      </c>
      <c r="D9" s="15" t="n">
        <f aca="false">IFERROR(D6/D5,0)</f>
        <v>0.58995</v>
      </c>
      <c r="E9" s="15" t="n">
        <f aca="false">IFERROR(E6/E5,0)</f>
        <v>0.61059825</v>
      </c>
      <c r="F9" s="15" t="n">
        <f aca="false">IFERROR(F6/F5,0)</f>
        <v>0.63196918875</v>
      </c>
      <c r="G9" s="15" t="n">
        <f aca="false">IFERROR(G6/G5,0)</f>
        <v>0.65408811035625</v>
      </c>
    </row>
    <row r="10" customFormat="false" ht="15" hidden="false" customHeight="false" outlineLevel="0" collapsed="false">
      <c r="B10" s="0" t="s">
        <v>30</v>
      </c>
      <c r="C10" s="15" t="n">
        <f aca="false">IFERROR(C7/C5,0)</f>
        <v>0.28</v>
      </c>
      <c r="D10" s="15" t="n">
        <f aca="false">IFERROR(D7/D5,0)</f>
        <v>0.28</v>
      </c>
      <c r="E10" s="15" t="n">
        <f aca="false">IFERROR(E7/E5,0)</f>
        <v>0.28</v>
      </c>
      <c r="F10" s="15" t="n">
        <f aca="false">IFERROR(F7/F5,0)</f>
        <v>0.28</v>
      </c>
      <c r="G10" s="15" t="n">
        <f aca="false">IFERROR(G7/G5,0)</f>
        <v>0.28</v>
      </c>
    </row>
    <row r="11" customFormat="false" ht="15" hidden="false" customHeight="false" outlineLevel="0" collapsed="false">
      <c r="B11" s="0" t="s">
        <v>88</v>
      </c>
      <c r="C11" s="15" t="n">
        <f aca="false">C9+C10</f>
        <v>0.85</v>
      </c>
      <c r="D11" s="15" t="n">
        <f aca="false">D9+D10</f>
        <v>0.86995</v>
      </c>
      <c r="E11" s="15" t="n">
        <f aca="false">E9+E10</f>
        <v>0.89059825</v>
      </c>
      <c r="F11" s="15" t="n">
        <f aca="false">F9+F10</f>
        <v>0.91196918875</v>
      </c>
      <c r="G11" s="15" t="n">
        <f aca="false">G9+G10</f>
        <v>0.93408811035625</v>
      </c>
    </row>
    <row r="12" customFormat="false" ht="15" hidden="false" customHeight="false" outlineLevel="0" collapsed="false">
      <c r="B12" s="0" t="s">
        <v>89</v>
      </c>
      <c r="C12" s="18" t="n">
        <f aca="false">Assumptions!$E$12*Assumptions!$E$13</f>
        <v>36</v>
      </c>
      <c r="D12" s="18" t="n">
        <f aca="false">Assumptions!$E$12*Assumptions!$E$13</f>
        <v>36</v>
      </c>
      <c r="E12" s="18" t="n">
        <f aca="false">Assumptions!$E$12*Assumptions!$E$13</f>
        <v>36</v>
      </c>
      <c r="F12" s="18" t="n">
        <f aca="false">Assumptions!$E$12*Assumptions!$E$13</f>
        <v>36</v>
      </c>
      <c r="G12" s="18" t="n">
        <f aca="false">Assumptions!$E$12*Assumptions!$E$13</f>
        <v>36</v>
      </c>
    </row>
    <row r="13" customFormat="false" ht="15" hidden="false" customHeight="false" outlineLevel="0" collapsed="false">
      <c r="B13" s="24" t="s">
        <v>90</v>
      </c>
      <c r="C13" s="25" t="n">
        <f aca="false">C8+C12</f>
        <v>7139.85</v>
      </c>
      <c r="D13" s="25" t="n">
        <f aca="false">D8+D12</f>
        <v>6502.9898475</v>
      </c>
      <c r="E13" s="25" t="n">
        <f aca="false">E8+E12</f>
        <v>5748.22611977063</v>
      </c>
      <c r="F13" s="25" t="n">
        <f aca="false">F8+F12</f>
        <v>4862.19788381074</v>
      </c>
      <c r="G13" s="25" t="n">
        <f aca="false">G8+G12</f>
        <v>3830.22850578882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7" min="3" style="0" width="15"/>
  </cols>
  <sheetData>
    <row r="2" customFormat="false" ht="27.75" hidden="false" customHeight="true" outlineLevel="0" collapsed="false">
      <c r="B2" s="1" t="s">
        <v>91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9" t="s">
        <v>64</v>
      </c>
      <c r="C4" s="9" t="s">
        <v>79</v>
      </c>
      <c r="D4" s="9" t="s">
        <v>80</v>
      </c>
      <c r="E4" s="9" t="s">
        <v>81</v>
      </c>
      <c r="F4" s="9" t="s">
        <v>82</v>
      </c>
      <c r="G4" s="9" t="s">
        <v>83</v>
      </c>
    </row>
    <row r="5" customFormat="false" ht="15" hidden="false" customHeight="false" outlineLevel="0" collapsed="false">
      <c r="B5" s="0" t="s">
        <v>90</v>
      </c>
      <c r="C5" s="18" t="n">
        <f aca="false">Underwriting!C13</f>
        <v>7139.85</v>
      </c>
      <c r="D5" s="18" t="n">
        <f aca="false">Underwriting!D13</f>
        <v>6502.9898475</v>
      </c>
      <c r="E5" s="18" t="n">
        <f aca="false">Underwriting!E13</f>
        <v>5748.22611977063</v>
      </c>
      <c r="F5" s="18" t="n">
        <f aca="false">Underwriting!F13</f>
        <v>4862.19788381074</v>
      </c>
      <c r="G5" s="18" t="n">
        <f aca="false">Underwriting!G13</f>
        <v>3830.22850578882</v>
      </c>
    </row>
    <row r="6" customFormat="false" ht="15" hidden="false" customHeight="false" outlineLevel="0" collapsed="false">
      <c r="B6" s="0" t="s">
        <v>92</v>
      </c>
      <c r="C6" s="18" t="n">
        <f aca="false">MAX(0,C5*0.25)</f>
        <v>1784.9625</v>
      </c>
      <c r="D6" s="18" t="n">
        <f aca="false">MAX(0,D5*0.25)</f>
        <v>1625.747461875</v>
      </c>
      <c r="E6" s="18" t="n">
        <f aca="false">MAX(0,E5*0.25)</f>
        <v>1437.05652994266</v>
      </c>
      <c r="F6" s="18" t="n">
        <f aca="false">MAX(0,F5*0.25)</f>
        <v>1215.54947095268</v>
      </c>
      <c r="G6" s="18" t="n">
        <f aca="false">MAX(0,G5*0.25)</f>
        <v>957.557126447204</v>
      </c>
    </row>
    <row r="7" customFormat="false" ht="15" hidden="false" customHeight="false" outlineLevel="0" collapsed="false">
      <c r="B7" s="0" t="s">
        <v>93</v>
      </c>
      <c r="C7" s="18" t="n">
        <f aca="false">C5-C6</f>
        <v>5354.8875</v>
      </c>
      <c r="D7" s="18" t="n">
        <f aca="false">D5-D6</f>
        <v>4877.242385625</v>
      </c>
      <c r="E7" s="18" t="n">
        <f aca="false">E5-E6</f>
        <v>4311.16958982797</v>
      </c>
      <c r="F7" s="18" t="n">
        <f aca="false">F5-F6</f>
        <v>3646.64841285805</v>
      </c>
      <c r="G7" s="18" t="n">
        <f aca="false">G5-G6</f>
        <v>2872.67137934161</v>
      </c>
    </row>
    <row r="8" customFormat="false" ht="15" hidden="false" customHeight="false" outlineLevel="0" collapsed="false">
      <c r="B8" s="0" t="s">
        <v>94</v>
      </c>
      <c r="C8" s="18" t="n">
        <f aca="false">'Bornhuetter-Ferguson'!$H$15*Assumptions!$E$10*Assumptions!$E$19</f>
        <v>8.08008185764429</v>
      </c>
      <c r="D8" s="18" t="n">
        <f aca="false">'Bornhuetter-Ferguson'!$H$15*Assumptions!$E$10*Assumptions!$E$19</f>
        <v>8.08008185764429</v>
      </c>
      <c r="E8" s="18" t="n">
        <f aca="false">'Bornhuetter-Ferguson'!$H$15*Assumptions!$E$10*Assumptions!$E$19</f>
        <v>8.08008185764429</v>
      </c>
      <c r="F8" s="18" t="n">
        <f aca="false">'Bornhuetter-Ferguson'!$H$15*Assumptions!$E$10*Assumptions!$E$19</f>
        <v>8.08008185764429</v>
      </c>
      <c r="G8" s="18" t="n">
        <f aca="false">'Bornhuetter-Ferguson'!$H$15*Assumptions!$E$10*Assumptions!$E$19</f>
        <v>8.08008185764429</v>
      </c>
    </row>
    <row r="9" customFormat="false" ht="15" hidden="false" customHeight="false" outlineLevel="0" collapsed="false">
      <c r="B9" s="0" t="s">
        <v>95</v>
      </c>
      <c r="C9" s="18" t="n">
        <f aca="false">C7-C8</f>
        <v>5346.80741814236</v>
      </c>
      <c r="D9" s="18" t="n">
        <f aca="false">D7-D8</f>
        <v>4869.16230376736</v>
      </c>
      <c r="E9" s="18" t="n">
        <f aca="false">E7-E8</f>
        <v>4303.08950797033</v>
      </c>
      <c r="F9" s="18" t="n">
        <f aca="false">F7-F8</f>
        <v>3638.56833100041</v>
      </c>
      <c r="G9" s="18" t="n">
        <f aca="false">G7-G8</f>
        <v>2864.59129748397</v>
      </c>
    </row>
    <row r="10" customFormat="false" ht="15" hidden="false" customHeight="false" outlineLevel="0" collapsed="false">
      <c r="B10" s="0" t="s">
        <v>96</v>
      </c>
      <c r="C10" s="26" t="n">
        <f aca="false">1/(1+Assumptions!$E$9)^1</f>
        <v>0.956937799043062</v>
      </c>
      <c r="D10" s="26" t="n">
        <f aca="false">1/(1+Assumptions!$E$9)^2</f>
        <v>0.91572995123738</v>
      </c>
      <c r="E10" s="26" t="n">
        <f aca="false">1/(1+Assumptions!$E$9)^3</f>
        <v>0.876296604054909</v>
      </c>
      <c r="F10" s="26" t="n">
        <f aca="false">1/(1+Assumptions!$E$9)^4</f>
        <v>0.838561343593215</v>
      </c>
      <c r="G10" s="26" t="n">
        <f aca="false">1/(1+Assumptions!$E$9)^5</f>
        <v>0.802451046500684</v>
      </c>
    </row>
    <row r="11" customFormat="false" ht="15" hidden="false" customHeight="false" outlineLevel="0" collapsed="false">
      <c r="B11" s="0" t="s">
        <v>97</v>
      </c>
      <c r="C11" s="18" t="n">
        <f aca="false">C9*C10</f>
        <v>5116.56212262427</v>
      </c>
      <c r="D11" s="18" t="n">
        <f aca="false">D9*D10</f>
        <v>4458.83775899577</v>
      </c>
      <c r="E11" s="18" t="n">
        <f aca="false">E9*E10</f>
        <v>3770.78272277871</v>
      </c>
      <c r="F11" s="18" t="n">
        <f aca="false">F9*F10</f>
        <v>3051.16274839942</v>
      </c>
      <c r="G11" s="18" t="n">
        <f aca="false">G9*G10</f>
        <v>2298.69428446276</v>
      </c>
    </row>
    <row r="13" customFormat="false" ht="15" hidden="false" customHeight="false" outlineLevel="0" collapsed="false">
      <c r="B13" s="0" t="s">
        <v>98</v>
      </c>
      <c r="C13" s="18" t="n">
        <f aca="false">Assumptions!E14-'Bornhuetter-Ferguson'!H15*(1+Assumptions!E10)</f>
        <v>70909.188949218</v>
      </c>
    </row>
    <row r="14" customFormat="false" ht="15" hidden="false" customHeight="false" outlineLevel="0" collapsed="false">
      <c r="B14" s="0" t="s">
        <v>99</v>
      </c>
      <c r="C14" s="18" t="n">
        <f aca="false">SUM(C11:G11)</f>
        <v>18696.0396372609</v>
      </c>
    </row>
    <row r="15" customFormat="false" ht="15" hidden="false" customHeight="false" outlineLevel="0" collapsed="false">
      <c r="B15" s="0" t="s">
        <v>100</v>
      </c>
      <c r="C15" s="18" t="n">
        <f aca="false">C13+C14</f>
        <v>89605.2285864789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</cols>
  <sheetData>
    <row r="2" customFormat="false" ht="27.75" hidden="false" customHeight="true" outlineLevel="0" collapsed="false">
      <c r="B2" s="1" t="s">
        <v>101</v>
      </c>
      <c r="C2" s="1"/>
      <c r="D2" s="1"/>
      <c r="E2" s="1"/>
    </row>
    <row r="4" customFormat="false" ht="15" hidden="false" customHeight="false" outlineLevel="0" collapsed="false">
      <c r="B4" s="9" t="s">
        <v>102</v>
      </c>
      <c r="C4" s="9" t="s">
        <v>103</v>
      </c>
      <c r="D4" s="9" t="s">
        <v>104</v>
      </c>
      <c r="E4" s="9" t="s">
        <v>105</v>
      </c>
    </row>
    <row r="5" customFormat="false" ht="15" hidden="false" customHeight="false" outlineLevel="0" collapsed="false">
      <c r="B5" s="0" t="s">
        <v>106</v>
      </c>
      <c r="C5" s="18" t="n">
        <f aca="false">Underwriting!C5</f>
        <v>47359</v>
      </c>
      <c r="D5" s="12" t="n">
        <f aca="false">Assumptions!E15</f>
        <v>0.18</v>
      </c>
      <c r="E5" s="18" t="n">
        <f aca="false">C5*D5</f>
        <v>8524.62</v>
      </c>
    </row>
    <row r="6" customFormat="false" ht="15" hidden="false" customHeight="false" outlineLevel="0" collapsed="false">
      <c r="B6" s="0" t="s">
        <v>107</v>
      </c>
      <c r="C6" s="18" t="n">
        <f aca="false">'Bornhuetter-Ferguson'!H15</f>
        <v>1010.01023220554</v>
      </c>
      <c r="D6" s="12" t="n">
        <f aca="false">Assumptions!E16</f>
        <v>0.12</v>
      </c>
      <c r="E6" s="18" t="n">
        <f aca="false">C6*D6</f>
        <v>121.201227864664</v>
      </c>
    </row>
    <row r="7" customFormat="false" ht="15" hidden="false" customHeight="false" outlineLevel="0" collapsed="false">
      <c r="B7" s="0" t="s">
        <v>108</v>
      </c>
      <c r="C7" s="18" t="n">
        <f aca="false">Assumptions!E12</f>
        <v>900</v>
      </c>
      <c r="D7" s="12" t="n">
        <f aca="false">Assumptions!E17</f>
        <v>0.08</v>
      </c>
      <c r="E7" s="18" t="n">
        <f aca="false">C7*D7</f>
        <v>72</v>
      </c>
    </row>
    <row r="9" customFormat="false" ht="15" hidden="false" customHeight="false" outlineLevel="0" collapsed="false">
      <c r="B9" s="0" t="s">
        <v>109</v>
      </c>
      <c r="E9" s="18" t="n">
        <f aca="false">SQRT(SUMSQ(E5:E7)+2*0.25*(E5*E6+E5*E7+E6*E7))</f>
        <v>8574.19772642192</v>
      </c>
    </row>
    <row r="10" customFormat="false" ht="15" hidden="false" customHeight="false" outlineLevel="0" collapsed="false">
      <c r="B10" s="0" t="s">
        <v>110</v>
      </c>
      <c r="E10" s="18" t="n">
        <f aca="false">Assumptions!E14</f>
        <v>72000</v>
      </c>
    </row>
    <row r="11" customFormat="false" ht="15" hidden="false" customHeight="false" outlineLevel="0" collapsed="false">
      <c r="B11" s="0" t="s">
        <v>111</v>
      </c>
      <c r="E11" s="20" t="n">
        <f aca="false">IFERROR(E10/E9,0)</f>
        <v>8.39728710455645</v>
      </c>
    </row>
    <row r="12" customFormat="false" ht="15" hidden="false" customHeight="false" outlineLevel="0" collapsed="false">
      <c r="B12" s="0" t="s">
        <v>112</v>
      </c>
      <c r="E12" s="20" t="n">
        <f aca="false">Assumptions!E18</f>
        <v>1.5</v>
      </c>
    </row>
    <row r="13" customFormat="false" ht="15" hidden="false" customHeight="false" outlineLevel="0" collapsed="false">
      <c r="B13" s="0" t="s">
        <v>113</v>
      </c>
      <c r="E13" s="0" t="str">
        <f aca="false">IF(E11&gt;=E12,"PASS","BREACH")</f>
        <v>PASS</v>
      </c>
    </row>
  </sheetData>
  <mergeCells count="1">
    <mergeCell ref="B2:E2"/>
  </mergeCells>
  <conditionalFormatting sqref="E13">
    <cfRule type="expression" priority="2" aboveAverage="0" equalAverage="0" bottom="0" percent="0" rank="0" text="" dxfId="0">
      <formula>E13="PASS"</formula>
    </cfRule>
    <cfRule type="expression" priority="3" aboveAverage="0" equalAverage="0" bottom="0" percent="0" rank="0" text="" dxfId="1">
      <formula>E13="FAIL"</formula>
    </cfRule>
    <cfRule type="expression" priority="4" aboveAverage="0" equalAverage="0" bottom="0" percent="0" rank="0" text="" dxfId="2">
      <formula>E13="REVIEW"</formula>
    </cfRule>
    <cfRule type="expression" priority="5" aboveAverage="0" equalAverage="0" bottom="0" percent="0" rank="0" text="" dxfId="1">
      <formula>E13="BREACH"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7" min="3" style="0" width="14"/>
  </cols>
  <sheetData>
    <row r="2" customFormat="false" ht="27.75" hidden="false" customHeight="true" outlineLevel="0" collapsed="false">
      <c r="B2" s="1" t="s">
        <v>114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9" t="s">
        <v>115</v>
      </c>
      <c r="C4" s="27" t="n">
        <v>-0.2</v>
      </c>
      <c r="D4" s="27" t="n">
        <v>-0.1</v>
      </c>
      <c r="E4" s="27" t="n">
        <v>0</v>
      </c>
      <c r="F4" s="27" t="n">
        <v>0.1</v>
      </c>
      <c r="G4" s="27" t="n">
        <v>0.2</v>
      </c>
    </row>
    <row r="5" customFormat="false" ht="15" hidden="false" customHeight="false" outlineLevel="0" collapsed="false">
      <c r="B5" s="12" t="n">
        <v>0</v>
      </c>
      <c r="C5" s="20" t="n">
        <f aca="false">(Assumptions!$E$14*(1+C$4)-'Bornhuetter-Ferguson'!$H$15*(1+$B5))/Capital!$E$9</f>
        <v>6.60003321283447</v>
      </c>
      <c r="D5" s="20" t="n">
        <f aca="false">(Assumptions!$E$14*(1+D$4)-'Bornhuetter-Ferguson'!$H$15*(1+$B5))/Capital!$E$9</f>
        <v>7.43976192329011</v>
      </c>
      <c r="E5" s="20" t="n">
        <f aca="false">(Assumptions!$E$14*(1+E$4)-'Bornhuetter-Ferguson'!$H$15*(1+$B5))/Capital!$E$9</f>
        <v>8.27949063374576</v>
      </c>
      <c r="F5" s="20" t="n">
        <f aca="false">(Assumptions!$E$14*(1+F$4)-'Bornhuetter-Ferguson'!$H$15*(1+$B5))/Capital!$E$9</f>
        <v>9.1192193442014</v>
      </c>
      <c r="G5" s="20" t="n">
        <f aca="false">(Assumptions!$E$14*(1+G$4)-'Bornhuetter-Ferguson'!$H$15*(1+$B5))/Capital!$E$9</f>
        <v>9.95894805465705</v>
      </c>
    </row>
    <row r="6" customFormat="false" ht="15" hidden="false" customHeight="false" outlineLevel="0" collapsed="false">
      <c r="B6" s="12" t="n">
        <v>0.05</v>
      </c>
      <c r="C6" s="20" t="n">
        <f aca="false">(Assumptions!$E$14*(1+C$4)-'Bornhuetter-Ferguson'!$H$15*(1+$B6))/Capital!$E$9</f>
        <v>6.59414338929393</v>
      </c>
      <c r="D6" s="20" t="n">
        <f aca="false">(Assumptions!$E$14*(1+D$4)-'Bornhuetter-Ferguson'!$H$15*(1+$B6))/Capital!$E$9</f>
        <v>7.43387209974958</v>
      </c>
      <c r="E6" s="20" t="n">
        <f aca="false">(Assumptions!$E$14*(1+E$4)-'Bornhuetter-Ferguson'!$H$15*(1+$B6))/Capital!$E$9</f>
        <v>8.27360081020522</v>
      </c>
      <c r="F6" s="20" t="n">
        <f aca="false">(Assumptions!$E$14*(1+F$4)-'Bornhuetter-Ferguson'!$H$15*(1+$B6))/Capital!$E$9</f>
        <v>9.11332952066087</v>
      </c>
      <c r="G6" s="20" t="n">
        <f aca="false">(Assumptions!$E$14*(1+G$4)-'Bornhuetter-Ferguson'!$H$15*(1+$B6))/Capital!$E$9</f>
        <v>9.95305823111651</v>
      </c>
    </row>
    <row r="7" customFormat="false" ht="15" hidden="false" customHeight="false" outlineLevel="0" collapsed="false">
      <c r="B7" s="12" t="n">
        <v>0.1</v>
      </c>
      <c r="C7" s="20" t="n">
        <f aca="false">(Assumptions!$E$14*(1+C$4)-'Bornhuetter-Ferguson'!$H$15*(1+$B7))/Capital!$E$9</f>
        <v>6.5882535657534</v>
      </c>
      <c r="D7" s="20" t="n">
        <f aca="false">(Assumptions!$E$14*(1+D$4)-'Bornhuetter-Ferguson'!$H$15*(1+$B7))/Capital!$E$9</f>
        <v>7.42798227620904</v>
      </c>
      <c r="E7" s="20" t="n">
        <f aca="false">(Assumptions!$E$14*(1+E$4)-'Bornhuetter-Ferguson'!$H$15*(1+$B7))/Capital!$E$9</f>
        <v>8.26771098666469</v>
      </c>
      <c r="F7" s="20" t="n">
        <f aca="false">(Assumptions!$E$14*(1+F$4)-'Bornhuetter-Ferguson'!$H$15*(1+$B7))/Capital!$E$9</f>
        <v>9.10743969712033</v>
      </c>
      <c r="G7" s="20" t="n">
        <f aca="false">(Assumptions!$E$14*(1+G$4)-'Bornhuetter-Ferguson'!$H$15*(1+$B7))/Capital!$E$9</f>
        <v>9.94716840757598</v>
      </c>
    </row>
    <row r="8" customFormat="false" ht="15" hidden="false" customHeight="false" outlineLevel="0" collapsed="false">
      <c r="B8" s="12" t="n">
        <v>0.15</v>
      </c>
      <c r="C8" s="20" t="n">
        <f aca="false">(Assumptions!$E$14*(1+C$4)-'Bornhuetter-Ferguson'!$H$15*(1+$B8))/Capital!$E$9</f>
        <v>6.58236374221286</v>
      </c>
      <c r="D8" s="20" t="n">
        <f aca="false">(Assumptions!$E$14*(1+D$4)-'Bornhuetter-Ferguson'!$H$15*(1+$B8))/Capital!$E$9</f>
        <v>7.42209245266851</v>
      </c>
      <c r="E8" s="20" t="n">
        <f aca="false">(Assumptions!$E$14*(1+E$4)-'Bornhuetter-Ferguson'!$H$15*(1+$B8))/Capital!$E$9</f>
        <v>8.26182116312415</v>
      </c>
      <c r="F8" s="20" t="n">
        <f aca="false">(Assumptions!$E$14*(1+F$4)-'Bornhuetter-Ferguson'!$H$15*(1+$B8))/Capital!$E$9</f>
        <v>9.1015498735798</v>
      </c>
      <c r="G8" s="20" t="n">
        <f aca="false">(Assumptions!$E$14*(1+G$4)-'Bornhuetter-Ferguson'!$H$15*(1+$B8))/Capital!$E$9</f>
        <v>9.94127858403544</v>
      </c>
    </row>
    <row r="9" customFormat="false" ht="15" hidden="false" customHeight="false" outlineLevel="0" collapsed="false">
      <c r="B9" s="12" t="n">
        <v>0.2</v>
      </c>
      <c r="C9" s="20" t="n">
        <f aca="false">(Assumptions!$E$14*(1+C$4)-'Bornhuetter-Ferguson'!$H$15*(1+$B9))/Capital!$E$9</f>
        <v>6.57647391867233</v>
      </c>
      <c r="D9" s="20" t="n">
        <f aca="false">(Assumptions!$E$14*(1+D$4)-'Bornhuetter-Ferguson'!$H$15*(1+$B9))/Capital!$E$9</f>
        <v>7.41620262912797</v>
      </c>
      <c r="E9" s="20" t="n">
        <f aca="false">(Assumptions!$E$14*(1+E$4)-'Bornhuetter-Ferguson'!$H$15*(1+$B9))/Capital!$E$9</f>
        <v>8.25593133958362</v>
      </c>
      <c r="F9" s="20" t="n">
        <f aca="false">(Assumptions!$E$14*(1+F$4)-'Bornhuetter-Ferguson'!$H$15*(1+$B9))/Capital!$E$9</f>
        <v>9.09566005003926</v>
      </c>
      <c r="G9" s="20" t="n">
        <f aca="false">(Assumptions!$E$14*(1+G$4)-'Bornhuetter-Ferguson'!$H$15*(1+$B9))/Capital!$E$9</f>
        <v>9.93538876049491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8"/>
  </cols>
  <sheetData>
    <row r="2" customFormat="false" ht="27.75" hidden="false" customHeight="true" outlineLevel="0" collapsed="false">
      <c r="B2" s="1" t="s">
        <v>116</v>
      </c>
      <c r="C2" s="1"/>
    </row>
    <row r="4" customFormat="false" ht="15" hidden="false" customHeight="false" outlineLevel="0" collapsed="false">
      <c r="B4" s="9" t="s">
        <v>117</v>
      </c>
      <c r="C4" s="9" t="s">
        <v>118</v>
      </c>
    </row>
    <row r="5" customFormat="false" ht="15" hidden="false" customHeight="false" outlineLevel="0" collapsed="false">
      <c r="B5" s="0" t="s">
        <v>119</v>
      </c>
      <c r="C5" s="0" t="str">
        <f aca="false">IF(MIN('Paid Triangle'!D5-'Paid Triangle'!C5,'Paid Triangle'!E5-'Paid Triangle'!D5,'Paid Triangle'!F5-'Paid Triangle'!E5,'Paid Triangle'!G5-'Paid Triangle'!F5,'Paid Triangle'!H5-'Paid Triangle'!G5,'Paid Triangle'!I5-'Paid Triangle'!H5,'Paid Triangle'!J5-'Paid Triangle'!I5,'Paid Triangle'!K5-'Paid Triangle'!J5,'Paid Triangle'!L5-'Paid Triangle'!K5,'Paid Triangle'!D6-'Paid Triangle'!C6,'Paid Triangle'!E6-'Paid Triangle'!D6,'Paid Triangle'!F6-'Paid Triangle'!E6,'Paid Triangle'!G6-'Paid Triangle'!F6,'Paid Triangle'!H6-'Paid Triangle'!G6,'Paid Triangle'!I6-'Paid Triangle'!H6,'Paid Triangle'!J6-'Paid Triangle'!I6,'Paid Triangle'!K6-'Paid Triangle'!J6,'Paid Triangle'!D7-'Paid Triangle'!C7,'Paid Triangle'!E7-'Paid Triangle'!D7,'Paid Triangle'!F7-'Paid Triangle'!E7,'Paid Triangle'!G7-'Paid Triangle'!F7,'Paid Triangle'!H7-'Paid Triangle'!G7,'Paid Triangle'!I7-'Paid Triangle'!H7,'Paid Triangle'!J7-'Paid Triangle'!I7,'Paid Triangle'!D8-'Paid Triangle'!C8,'Paid Triangle'!E8-'Paid Triangle'!D8,'Paid Triangle'!F8-'Paid Triangle'!E8,'Paid Triangle'!G8-'Paid Triangle'!F8,'Paid Triangle'!H8-'Paid Triangle'!G8,'Paid Triangle'!I8-'Paid Triangle'!H8,'Paid Triangle'!D9-'Paid Triangle'!C9,'Paid Triangle'!E9-'Paid Triangle'!D9,'Paid Triangle'!F9-'Paid Triangle'!E9,'Paid Triangle'!G9-'Paid Triangle'!F9,'Paid Triangle'!H9-'Paid Triangle'!G9,'Paid Triangle'!D10-'Paid Triangle'!C10,'Paid Triangle'!E10-'Paid Triangle'!D10,'Paid Triangle'!F10-'Paid Triangle'!E10,'Paid Triangle'!G10-'Paid Triangle'!F10,'Paid Triangle'!D11-'Paid Triangle'!C11,'Paid Triangle'!E11-'Paid Triangle'!D11,'Paid Triangle'!F11-'Paid Triangle'!E11,'Paid Triangle'!D12-'Paid Triangle'!C12,'Paid Triangle'!E12-'Paid Triangle'!D12,'Paid Triangle'!D13-'Paid Triangle'!C13)&gt;=0,"PASS","FAIL")</f>
        <v>PASS</v>
      </c>
    </row>
    <row r="6" customFormat="false" ht="15" hidden="false" customHeight="false" outlineLevel="0" collapsed="false">
      <c r="B6" s="0" t="s">
        <v>120</v>
      </c>
      <c r="C6" s="0" t="str">
        <f aca="false">IF(MIN('Chain Ladder'!C5:L5)&gt;=1,"PASS","FAIL")</f>
        <v>PASS</v>
      </c>
    </row>
    <row r="7" customFormat="false" ht="15" hidden="false" customHeight="false" outlineLevel="0" collapsed="false">
      <c r="B7" s="0" t="s">
        <v>121</v>
      </c>
      <c r="C7" s="0" t="str">
        <f aca="false">IF(MIN('Chain Ladder'!N8:N17)&gt;=0,"PASS","FAIL")</f>
        <v>PASS</v>
      </c>
    </row>
    <row r="8" customFormat="false" ht="15" hidden="false" customHeight="false" outlineLevel="0" collapsed="false">
      <c r="B8" s="0" t="s">
        <v>122</v>
      </c>
      <c r="C8" s="0" t="str">
        <f aca="false">IF(MIN('Bornhuetter-Ferguson'!H5:H14)&gt;=0,"PASS","FAIL")</f>
        <v>PASS</v>
      </c>
    </row>
    <row r="9" customFormat="false" ht="15" hidden="false" customHeight="false" outlineLevel="0" collapsed="false">
      <c r="B9" s="0" t="s">
        <v>123</v>
      </c>
      <c r="C9" s="0" t="str">
        <f aca="false">IF(AND(MIN(Underwriting!C11:G11)&gt;=0,MAX(Underwriting!C11:G11)&lt;3),"PASS","FAIL")</f>
        <v>PASS</v>
      </c>
    </row>
    <row r="10" customFormat="false" ht="15" hidden="false" customHeight="false" outlineLevel="0" collapsed="false">
      <c r="B10" s="0" t="s">
        <v>124</v>
      </c>
      <c r="C10" s="0" t="str">
        <f aca="false">IF(Capital!E9&gt;0,"PASS","FAIL")</f>
        <v>PASS</v>
      </c>
    </row>
    <row r="11" customFormat="false" ht="15" hidden="false" customHeight="false" outlineLevel="0" collapsed="false">
      <c r="B11" s="0" t="s">
        <v>111</v>
      </c>
      <c r="C11" s="0" t="str">
        <f aca="false">IF(Capital!E13="PASS","PASS","REVIEW")</f>
        <v>PASS</v>
      </c>
    </row>
    <row r="12" customFormat="false" ht="15" hidden="false" customHeight="false" outlineLevel="0" collapsed="false">
      <c r="B12" s="0" t="s">
        <v>125</v>
      </c>
      <c r="C12" s="0" t="str">
        <f aca="false">IF(ABS('Embedded Value'!C15)&lt;1000000,"PASS","FAIL")</f>
        <v>PASS</v>
      </c>
    </row>
    <row r="13" customFormat="false" ht="15" hidden="false" customHeight="false" outlineLevel="0" collapsed="false">
      <c r="B13" s="0" t="s">
        <v>126</v>
      </c>
      <c r="C13" s="0" t="str">
        <f aca="false">IF(COUNTIF(C5:C12,"FAIL")=0,"PASS","FAIL")</f>
        <v>PASS</v>
      </c>
    </row>
  </sheetData>
  <mergeCells count="1">
    <mergeCell ref="B2:C2"/>
  </mergeCells>
  <conditionalFormatting sqref="C5:C13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48"/>
  </cols>
  <sheetData>
    <row r="2" customFormat="false" ht="27.75" hidden="false" customHeight="true" outlineLevel="0" collapsed="false">
      <c r="B2" s="1" t="s">
        <v>127</v>
      </c>
      <c r="C2" s="1"/>
      <c r="D2" s="1"/>
      <c r="E2" s="1"/>
    </row>
    <row r="4" customFormat="false" ht="15" hidden="false" customHeight="false" outlineLevel="0" collapsed="false">
      <c r="B4" s="9" t="s">
        <v>128</v>
      </c>
      <c r="C4" s="9" t="s">
        <v>129</v>
      </c>
      <c r="D4" s="9" t="s">
        <v>130</v>
      </c>
      <c r="E4" s="9" t="s">
        <v>131</v>
      </c>
    </row>
    <row r="5" customFormat="false" ht="15" hidden="false" customHeight="false" outlineLevel="0" collapsed="false">
      <c r="B5" s="28" t="s">
        <v>132</v>
      </c>
      <c r="C5" s="28" t="s">
        <v>133</v>
      </c>
      <c r="D5" s="28" t="s">
        <v>134</v>
      </c>
      <c r="E5" s="28" t="s">
        <v>135</v>
      </c>
    </row>
    <row r="6" customFormat="false" ht="15" hidden="false" customHeight="false" outlineLevel="0" collapsed="false">
      <c r="B6" s="28" t="s">
        <v>136</v>
      </c>
      <c r="C6" s="28" t="s">
        <v>137</v>
      </c>
      <c r="D6" s="28" t="s">
        <v>138</v>
      </c>
      <c r="E6" s="28" t="s">
        <v>139</v>
      </c>
    </row>
    <row r="7" customFormat="false" ht="15" hidden="false" customHeight="false" outlineLevel="0" collapsed="false">
      <c r="B7" s="28" t="s">
        <v>140</v>
      </c>
      <c r="C7" s="28" t="s">
        <v>141</v>
      </c>
      <c r="D7" s="28" t="s">
        <v>4</v>
      </c>
      <c r="E7" s="28" t="s">
        <v>142</v>
      </c>
    </row>
    <row r="8" customFormat="false" ht="15" hidden="false" customHeight="false" outlineLevel="0" collapsed="false">
      <c r="B8" s="28" t="s">
        <v>143</v>
      </c>
      <c r="C8" s="28" t="s">
        <v>144</v>
      </c>
      <c r="D8" s="28" t="s">
        <v>145</v>
      </c>
      <c r="E8" s="28" t="s">
        <v>146</v>
      </c>
    </row>
    <row r="9" customFormat="false" ht="15" hidden="false" customHeight="false" outlineLevel="0" collapsed="false">
      <c r="B9" s="28" t="s">
        <v>147</v>
      </c>
      <c r="C9" s="28" t="s">
        <v>148</v>
      </c>
      <c r="D9" s="28" t="s">
        <v>4</v>
      </c>
      <c r="E9" s="28" t="s">
        <v>149</v>
      </c>
    </row>
    <row r="10" customFormat="false" ht="15" hidden="false" customHeight="false" outlineLevel="0" collapsed="false">
      <c r="B10" s="29" t="s">
        <v>150</v>
      </c>
      <c r="C10" s="29" t="s">
        <v>151</v>
      </c>
      <c r="D10" s="29" t="s">
        <v>6</v>
      </c>
      <c r="E10" s="29" t="s">
        <v>152</v>
      </c>
    </row>
    <row r="11" customFormat="false" ht="15" hidden="false" customHeight="false" outlineLevel="0" collapsed="false">
      <c r="B11" s="29" t="s">
        <v>153</v>
      </c>
      <c r="C11" s="29" t="s">
        <v>154</v>
      </c>
      <c r="D11" s="29" t="s">
        <v>6</v>
      </c>
      <c r="E11" s="29" t="s">
        <v>155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34"/>
    <col collapsed="false" customWidth="true" hidden="false" outlineLevel="0" max="7" min="7" style="0" width="18"/>
  </cols>
  <sheetData>
    <row r="2" customFormat="false" ht="27.75" hidden="false" customHeight="true" outlineLevel="0" collapsed="false">
      <c r="B2" s="1" t="s">
        <v>156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9" t="s">
        <v>157</v>
      </c>
      <c r="C4" s="9" t="s">
        <v>158</v>
      </c>
      <c r="D4" s="9" t="s">
        <v>159</v>
      </c>
      <c r="E4" s="9" t="s">
        <v>160</v>
      </c>
      <c r="F4" s="9" t="s">
        <v>161</v>
      </c>
      <c r="G4" s="9" t="s">
        <v>162</v>
      </c>
    </row>
    <row r="5" customFormat="false" ht="15" hidden="false" customHeight="false" outlineLevel="0" collapsed="false">
      <c r="B5" s="30" t="s">
        <v>163</v>
      </c>
      <c r="C5" s="30" t="s">
        <v>164</v>
      </c>
      <c r="D5" s="30" t="s">
        <v>154</v>
      </c>
      <c r="E5" s="30" t="s">
        <v>165</v>
      </c>
      <c r="F5" s="30" t="s">
        <v>166</v>
      </c>
      <c r="G5" s="30" t="s">
        <v>167</v>
      </c>
    </row>
    <row r="6" customFormat="false" ht="15" hidden="false" customHeight="false" outlineLevel="0" collapsed="false">
      <c r="B6" s="30"/>
      <c r="C6" s="30"/>
      <c r="D6" s="30"/>
      <c r="E6" s="30"/>
      <c r="F6" s="30"/>
      <c r="G6" s="30"/>
    </row>
    <row r="7" customFormat="false" ht="15" hidden="false" customHeight="false" outlineLevel="0" collapsed="false">
      <c r="B7" s="30"/>
      <c r="C7" s="30"/>
      <c r="D7" s="30"/>
      <c r="E7" s="30"/>
      <c r="F7" s="30"/>
      <c r="G7" s="30"/>
    </row>
    <row r="8" customFormat="false" ht="15" hidden="false" customHeight="false" outlineLevel="0" collapsed="false">
      <c r="B8" s="30"/>
      <c r="C8" s="30"/>
      <c r="D8" s="30"/>
      <c r="E8" s="30"/>
      <c r="F8" s="30"/>
      <c r="G8" s="30"/>
    </row>
    <row r="9" customFormat="false" ht="15" hidden="false" customHeight="false" outlineLevel="0" collapsed="false">
      <c r="B9" s="30"/>
      <c r="C9" s="30"/>
      <c r="D9" s="30"/>
      <c r="E9" s="30"/>
      <c r="F9" s="30"/>
      <c r="G9" s="30"/>
    </row>
    <row r="10" customFormat="false" ht="15" hidden="false" customHeight="false" outlineLevel="0" collapsed="false">
      <c r="B10" s="30"/>
      <c r="C10" s="30"/>
      <c r="D10" s="30"/>
      <c r="E10" s="30"/>
      <c r="F10" s="30"/>
      <c r="G10" s="30"/>
    </row>
    <row r="11" customFormat="false" ht="15" hidden="false" customHeight="false" outlineLevel="0" collapsed="false">
      <c r="B11" s="30"/>
      <c r="C11" s="30"/>
      <c r="D11" s="30"/>
      <c r="E11" s="30"/>
      <c r="F11" s="30"/>
      <c r="G11" s="30"/>
    </row>
    <row r="12" customFormat="false" ht="15" hidden="false" customHeight="false" outlineLevel="0" collapsed="false">
      <c r="B12" s="30"/>
      <c r="C12" s="30"/>
      <c r="D12" s="30"/>
      <c r="E12" s="30"/>
      <c r="F12" s="30"/>
      <c r="G12" s="30"/>
    </row>
    <row r="13" customFormat="false" ht="15" hidden="false" customHeight="false" outlineLevel="0" collapsed="false">
      <c r="B13" s="30"/>
      <c r="C13" s="30"/>
      <c r="D13" s="30"/>
      <c r="E13" s="30"/>
      <c r="F13" s="30"/>
      <c r="G13" s="30"/>
    </row>
    <row r="14" customFormat="false" ht="15" hidden="false" customHeight="false" outlineLevel="0" collapsed="false">
      <c r="B14" s="30"/>
      <c r="C14" s="30"/>
      <c r="D14" s="30"/>
      <c r="E14" s="30"/>
      <c r="F14" s="30"/>
      <c r="G14" s="30"/>
    </row>
    <row r="15" customFormat="false" ht="15" hidden="false" customHeight="false" outlineLevel="0" collapsed="false">
      <c r="B15" s="30"/>
      <c r="C15" s="30"/>
      <c r="D15" s="30"/>
      <c r="E15" s="30"/>
      <c r="F15" s="30"/>
      <c r="G15" s="30"/>
    </row>
    <row r="16" customFormat="false" ht="15" hidden="false" customHeight="false" outlineLevel="0" collapsed="false">
      <c r="B16" s="30"/>
      <c r="C16" s="30"/>
      <c r="D16" s="30"/>
      <c r="E16" s="30"/>
      <c r="F16" s="30"/>
      <c r="G16" s="30"/>
    </row>
    <row r="17" customFormat="false" ht="15" hidden="false" customHeight="false" outlineLevel="0" collapsed="false">
      <c r="B17" s="30"/>
      <c r="C17" s="30"/>
      <c r="D17" s="30"/>
      <c r="E17" s="30"/>
      <c r="F17" s="30"/>
      <c r="G17" s="30"/>
    </row>
    <row r="18" customFormat="false" ht="15" hidden="false" customHeight="false" outlineLevel="0" collapsed="false">
      <c r="B18" s="30"/>
      <c r="C18" s="30"/>
      <c r="D18" s="30"/>
      <c r="E18" s="30"/>
      <c r="F18" s="30"/>
      <c r="G18" s="30"/>
    </row>
    <row r="19" customFormat="false" ht="15" hidden="false" customHeight="false" outlineLevel="0" collapsed="false">
      <c r="B19" s="30"/>
      <c r="C19" s="30"/>
      <c r="D19" s="30"/>
      <c r="E19" s="30"/>
      <c r="F19" s="30"/>
      <c r="G19" s="30"/>
    </row>
    <row r="20" customFormat="false" ht="15" hidden="false" customHeight="false" outlineLevel="0" collapsed="false">
      <c r="B20" s="30"/>
      <c r="C20" s="30"/>
      <c r="D20" s="30"/>
      <c r="E20" s="30"/>
      <c r="F20" s="30"/>
      <c r="G20" s="30"/>
    </row>
    <row r="21" customFormat="false" ht="15" hidden="false" customHeight="false" outlineLevel="0" collapsed="false">
      <c r="B21" s="30"/>
      <c r="C21" s="30"/>
      <c r="D21" s="30"/>
      <c r="E21" s="30"/>
      <c r="F21" s="30"/>
      <c r="G21" s="30"/>
    </row>
    <row r="22" customFormat="false" ht="15" hidden="false" customHeight="false" outlineLevel="0" collapsed="false">
      <c r="B22" s="30"/>
      <c r="C22" s="30"/>
      <c r="D22" s="30"/>
      <c r="E22" s="30"/>
      <c r="F22" s="30"/>
      <c r="G22" s="30"/>
    </row>
    <row r="23" customFormat="false" ht="15" hidden="false" customHeight="false" outlineLevel="0" collapsed="false">
      <c r="B23" s="30"/>
      <c r="C23" s="30"/>
      <c r="D23" s="30"/>
      <c r="E23" s="30"/>
      <c r="F23" s="30"/>
      <c r="G23" s="30"/>
    </row>
    <row r="24" customFormat="false" ht="15" hidden="false" customHeight="false" outlineLevel="0" collapsed="false">
      <c r="B24" s="30"/>
      <c r="C24" s="30"/>
      <c r="D24" s="30"/>
      <c r="E24" s="30"/>
      <c r="F24" s="30"/>
      <c r="G24" s="30"/>
    </row>
    <row r="25" customFormat="false" ht="15" hidden="false" customHeight="false" outlineLevel="0" collapsed="false">
      <c r="B25" s="30"/>
      <c r="C25" s="30"/>
      <c r="D25" s="30"/>
      <c r="E25" s="30"/>
      <c r="F25" s="30"/>
      <c r="G25" s="30"/>
    </row>
    <row r="26" customFormat="false" ht="15" hidden="false" customHeight="false" outlineLevel="0" collapsed="false">
      <c r="B26" s="30"/>
      <c r="C26" s="30"/>
      <c r="D26" s="30"/>
      <c r="E26" s="30"/>
      <c r="F26" s="30"/>
      <c r="G26" s="30"/>
    </row>
    <row r="27" customFormat="false" ht="15" hidden="false" customHeight="false" outlineLevel="0" collapsed="false">
      <c r="B27" s="30"/>
      <c r="C27" s="30"/>
      <c r="D27" s="30"/>
      <c r="E27" s="30"/>
      <c r="F27" s="30"/>
      <c r="G27" s="30"/>
    </row>
    <row r="28" customFormat="false" ht="15" hidden="false" customHeight="false" outlineLevel="0" collapsed="false">
      <c r="B28" s="30"/>
      <c r="C28" s="30"/>
      <c r="D28" s="30"/>
      <c r="E28" s="30"/>
      <c r="F28" s="30"/>
      <c r="G28" s="30"/>
    </row>
    <row r="29" customFormat="false" ht="15" hidden="false" customHeight="false" outlineLevel="0" collapsed="false">
      <c r="B29" s="30"/>
      <c r="C29" s="30"/>
      <c r="D29" s="30"/>
      <c r="E29" s="30"/>
      <c r="F29" s="30"/>
      <c r="G29" s="30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2026-08-05T03:21:22Z</dcterms:created>
  <dc:creator>openpyxl</dc:creator>
  <dc:description/>
  <dc:language>en-US</dc:language>
  <cp:lastModifiedBy/>
  <dcterms:modified xsi:type="dcterms:W3CDTF">2026-08-05T03:21:37Z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