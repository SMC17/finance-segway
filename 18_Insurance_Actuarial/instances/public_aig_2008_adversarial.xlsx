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Paid Triangle" sheetId="6" state="visible" r:id="rId8"/>
    <sheet name="Chain Ladder" sheetId="7" state="visible" r:id="rId9"/>
    <sheet name="Bornhuetter-Ferguson" sheetId="8" state="visible" r:id="rId10"/>
    <sheet name="Underwriting" sheetId="9" state="visible" r:id="rId11"/>
    <sheet name="Embedded Value" sheetId="10" state="visible" r:id="rId12"/>
    <sheet name="Capital" sheetId="11" state="visible" r:id="rId13"/>
    <sheet name="Stress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<sst xmlns="http://schemas.openxmlformats.org/spreadsheetml/2006/main" count="388" uniqueCount="270">
  <si>
    <t xml:space="preserve">[INSURER / BOOK] — Insurance &amp; Actuarial Model</t>
  </si>
  <si>
    <t xml:space="preserve">Entity / line of business:</t>
  </si>
  <si>
    <t xml:space="preserve">AIG 2008 reserve and capital stress</t>
  </si>
  <si>
    <t xml:space="preserve">Valuation date:</t>
  </si>
  <si>
    <t xml:space="preserve">[date]</t>
  </si>
  <si>
    <t xml:space="preserve">Last refreshed:</t>
  </si>
  <si>
    <t xml:space="preserve">2009-03-02</t>
  </si>
  <si>
    <t xml:space="preserve">Next reserve / capital review:</t>
  </si>
  <si>
    <t xml:space="preserve">Refresh cadence:</t>
  </si>
  <si>
    <t xml:space="preserve">Quarterly and on material claims events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</si>
  <si>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</si>
  <si>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</si>
  <si>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</si>
  <si>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</si>
  <si>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</si>
  <si>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</si>
  <si>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</si>
  <si>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</si>
  <si>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</si>
  <si>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</si>
  <si>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</si>
  <si>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</si>
  <si>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</si>
  <si>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Insurance &amp; Actuarial — Institutional Decision Surface</t>
  </si>
  <si>
    <t xml:space="preserve">Model ID</t>
  </si>
  <si>
    <t xml:space="preserve">18</t>
  </si>
  <si>
    <t xml:space="preserve">Domain</t>
  </si>
  <si>
    <t xml:space="preserve">Insurance &amp; Actuarial</t>
  </si>
  <si>
    <t xml:space="preserve">Declared maturity</t>
  </si>
  <si>
    <t xml:space="preserve">M2</t>
  </si>
  <si>
    <t xml:space="preserve">Canonical builder</t>
  </si>
  <si>
    <t xml:space="preserve">tools/builders/build_insurance_release.py</t>
  </si>
  <si>
    <t xml:space="preserve">Decision arena</t>
  </si>
  <si>
    <t xml:space="preserve">actuarial, underwriting, finance, capital committee and regulator</t>
  </si>
  <si>
    <t xml:space="preserve">Committee artifact</t>
  </si>
  <si>
    <t xml:space="preserve">reserve, profitability and capital pack</t>
  </si>
  <si>
    <t xml:space="preserve">Operating cadence</t>
  </si>
  <si>
    <t xml:space="preserve">monthly reserve monitoring; quarterly close; annual assumption review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</si>
  <si>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</si>
  <si>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</si>
  <si>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</si>
  <si>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</si>
  <si>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</si>
  <si>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</si>
  <si>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ultimate loss and reserve</t>
  </si>
  <si>
    <t xml:space="preserve">OPEN</t>
  </si>
  <si>
    <t xml:space="preserve">loss ratio and combined ratio</t>
  </si>
  <si>
    <t xml:space="preserve">new-business and embedded value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</si>
  <si>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</si>
  <si>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</si>
  <si>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</si>
  <si>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accident years are driving development?</t>
  </si>
  <si>
    <t xml:space="preserve">What operational change broke historical comparability?</t>
  </si>
  <si>
    <t xml:space="preserve">How collectible are reinsurance balances?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</si>
  <si>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</si>
  <si>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</si>
  <si>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</si>
  <si>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reserve deterioration</t>
  </si>
  <si>
    <t xml:space="preserve">frequency / severity inflation</t>
  </si>
  <si>
    <t xml:space="preserve">catastrophe event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</si>
  <si>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</si>
  <si>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</si>
  <si>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</si>
  <si>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policy and claims triangles</t>
  </si>
  <si>
    <t xml:space="preserve">actuarial methods and assumptions</t>
  </si>
  <si>
    <t xml:space="preserve">reinsurance treaties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</si>
  <si>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</si>
  <si>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</si>
  <si>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</si>
  <si>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triangle monotonicity where appropriate</t>
  </si>
  <si>
    <t xml:space="preserve">development factors bounded and explained</t>
  </si>
  <si>
    <t xml:space="preserve">reserve roll-forward reconciles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</si>
  <si>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</si>
  <si>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</si>
  <si>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</si>
  <si>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blindly selecting latest link ratios</t>
  </si>
  <si>
    <t xml:space="preserve">mixing accident, report and policy year</t>
  </si>
  <si>
    <t xml:space="preserve">ignoring claims inflation regime change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</si>
  <si>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</si>
  <si>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</si>
  <si>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</si>
  <si>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</si>
  <si>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</si>
  <si>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</si>
  <si>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</si>
  <si>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</si>
  <si>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</si>
  <si>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</si>
  <si>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</si>
  <si>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</si>
  <si>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NAIC Risk-Based Capital</t>
  </si>
  <si>
    <t xml:space="preserve">risk-sensitive statutory capital</t>
  </si>
  <si>
    <t xml:space="preserve">https://content.naic.org/insurance-topics/risk-based-capital</t>
  </si>
  <si>
    <t xml:space="preserve">IFRS 17 Insurance Contracts</t>
  </si>
  <si>
    <t xml:space="preserve">insurance measurement and risk release</t>
  </si>
  <si>
    <t xml:space="preserve">https://www.ifrs.org/issued-standards/list-of-standards/ifrs-17-insurance-contracts/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</si>
  <si>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</si>
  <si>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</si>
  <si>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</si>
  <si>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</si>
  <si>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</si>
  <si>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</si>
  <si>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</si>
  <si>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</si>
  <si>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</si>
  <si>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</si>
  <si>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</si>
  <si>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</si>
  <si>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</si>
  <si>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</si>
  <si>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</si>
  <si>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</si>
  <si>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claims transactions</t>
  </si>
  <si>
    <t xml:space="preserve">monthly</t>
  </si>
  <si>
    <t xml:space="preserve">paid/incurred and claim-id reconciliation</t>
  </si>
  <si>
    <t xml:space="preserve">TO MAP</t>
  </si>
  <si>
    <t xml:space="preserve">exposure and premium</t>
  </si>
  <si>
    <t xml:space="preserve">earned/written definition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</si>
  <si>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</si>
  <si>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</si>
  <si>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</si>
  <si>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</si>
  <si>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</si>
  <si>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</si>
  <si>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Actuarial, Underwriting, and Capital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</si>
  <si>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</si>
  <si>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</si>
  <si>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</si>
  <si>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</si>
  <si>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Expected loss ratio</t>
  </si>
  <si>
    <t xml:space="preserve">%</t>
  </si>
  <si>
    <t xml:space="preserve">Expense ratio</t>
  </si>
  <si>
    <t xml:space="preserve">Annual premium growth</t>
  </si>
  <si>
    <t xml:space="preserve">Claims inflation</t>
  </si>
  <si>
    <t xml:space="preserve">Discount rate</t>
  </si>
  <si>
    <t xml:space="preserve">Risk margin / reserve</t>
  </si>
  <si>
    <t xml:space="preserve">Opening earned premium</t>
  </si>
  <si>
    <t xml:space="preserve">$mm</t>
  </si>
  <si>
    <t xml:space="preserve">Opening invested assets</t>
  </si>
  <si>
    <t xml:space="preserve">Investment yield</t>
  </si>
  <si>
    <t xml:space="preserve">Opening available capital</t>
  </si>
  <si>
    <t xml:space="preserve">Premium risk factor</t>
  </si>
  <si>
    <t xml:space="preserve">% premium</t>
  </si>
  <si>
    <t xml:space="preserve">Reserve risk factor</t>
  </si>
  <si>
    <t xml:space="preserve">% reserve</t>
  </si>
  <si>
    <t xml:space="preserve">Asset risk factor</t>
  </si>
  <si>
    <t xml:space="preserve">% assets</t>
  </si>
  <si>
    <t xml:space="preserve">Minimum capital coverage</t>
  </si>
  <si>
    <t xml:space="preserve">x</t>
  </si>
  <si>
    <t xml:space="preserve">Cost of capital</t>
  </si>
  <si>
    <t xml:space="preserve">Projection horizon</t>
  </si>
  <si>
    <t xml:space="preserve">years</t>
  </si>
  <si>
    <t xml:space="preserve">Cumulative Paid Loss Triangle</t>
  </si>
  <si>
    <t xml:space="preserve">Accident year</t>
  </si>
  <si>
    <t xml:space="preserve">12m</t>
  </si>
  <si>
    <t xml:space="preserve">24m</t>
  </si>
  <si>
    <t xml:space="preserve">36m</t>
  </si>
  <si>
    <t xml:space="preserve">48m</t>
  </si>
  <si>
    <t xml:space="preserve">60m</t>
  </si>
  <si>
    <t xml:space="preserve">72m</t>
  </si>
  <si>
    <t xml:space="preserve">84m</t>
  </si>
  <si>
    <t xml:space="preserve">96m</t>
  </si>
  <si>
    <t xml:space="preserve">108m</t>
  </si>
  <si>
    <t xml:space="preserve">120m</t>
  </si>
  <si>
    <t xml:space="preserve">Chain-Ladder Reserve Development</t>
  </si>
  <si>
    <t xml:space="preserve">Metric</t>
  </si>
  <si>
    <t xml:space="preserve">Ultimate</t>
  </si>
  <si>
    <t xml:space="preserve">Reserve</t>
  </si>
  <si>
    <t xml:space="preserve">Selected age-to-age factor</t>
  </si>
  <si>
    <t xml:space="preserve">Cumulative development factor</t>
  </si>
  <si>
    <t xml:space="preserve">Total</t>
  </si>
  <si>
    <t xml:space="preserve">Bornhuetter-Ferguson Reserve Estimate</t>
  </si>
  <si>
    <t xml:space="preserve">Earned premium</t>
  </si>
  <si>
    <t xml:space="preserve">Expected loss</t>
  </si>
  <si>
    <t xml:space="preserve">% paid</t>
  </si>
  <si>
    <t xml:space="preserve">Paid to date</t>
  </si>
  <si>
    <t xml:space="preserve">BF ultimate</t>
  </si>
  <si>
    <t xml:space="preserve">BF reserve</t>
  </si>
  <si>
    <t xml:space="preserve">Five-Year Underwriting Forecast</t>
  </si>
  <si>
    <t xml:space="preserve">$mm / %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</si>
  <si>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</si>
  <si>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</si>
  <si>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</si>
  <si>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</si>
  <si>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</si>
  <si>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Incurred losses</t>
  </si>
  <si>
    <t xml:space="preserve">Underwriting expenses</t>
  </si>
  <si>
    <t xml:space="preserve">Underwriting result</t>
  </si>
  <si>
    <t xml:space="preserve">Loss ratio</t>
  </si>
  <si>
    <t xml:space="preserve">Combined ratio</t>
  </si>
  <si>
    <t xml:space="preserve">Investment income</t>
  </si>
  <si>
    <t xml:space="preserve">Pre-tax operating income</t>
  </si>
  <si>
    <t xml:space="preserve">Simplified Embedded Value</t>
  </si>
  <si>
    <t xml:space="preserve">Tax at 25%</t>
  </si>
  <si>
    <t xml:space="preserve">After-tax distributable earnings</t>
  </si>
  <si>
    <t xml:space="preserve">Risk margin charge</t>
  </si>
  <si>
    <t xml:space="preserve">Economic earnings</t>
  </si>
  <si>
    <t xml:space="preserve">Discount factor</t>
  </si>
  <si>
    <t xml:space="preserve">PV economic earnings</t>
  </si>
  <si>
    <t xml:space="preserve">Adjusted net asset value</t>
  </si>
  <si>
    <t xml:space="preserve">Present value of future economic earnings</t>
  </si>
  <si>
    <t xml:space="preserve">Embedded value</t>
  </si>
  <si>
    <t xml:space="preserve">Economic and Regulatory Capital Screen</t>
  </si>
  <si>
    <t xml:space="preserve">Capital component</t>
  </si>
  <si>
    <t xml:space="preserve">Exposure</t>
  </si>
  <si>
    <t xml:space="preserve">Factor</t>
  </si>
  <si>
    <t xml:space="preserve">Premium risk</t>
  </si>
  <si>
    <t xml:space="preserve">Reserve risk</t>
  </si>
  <si>
    <t xml:space="preserve">Asset risk</t>
  </si>
  <si>
    <t xml:space="preserve">Diversified capital requirement</t>
  </si>
  <si>
    <t xml:space="preserve">Available capital</t>
  </si>
  <si>
    <t xml:space="preserve">Capital coverage</t>
  </si>
  <si>
    <t xml:space="preserve">Minimum coverage</t>
  </si>
  <si>
    <t xml:space="preserve">Capital status</t>
  </si>
  <si>
    <t xml:space="preserve">Reserve and Capital Stress Matrix</t>
  </si>
  <si>
    <t xml:space="preserve">Loss ratio / Asset shock</t>
  </si>
  <si>
    <t xml:space="preserve">Actuarial Model Checks</t>
  </si>
  <si>
    <t xml:space="preserve">Check</t>
  </si>
  <si>
    <t xml:space="preserve">Paid triangle cumulative</t>
  </si>
  <si>
    <t xml:space="preserve">Development factors at least one</t>
  </si>
  <si>
    <t xml:space="preserve">Chain-ladder reserve nonnegative</t>
  </si>
  <si>
    <t xml:space="preserve">BF reserve nonnegative</t>
  </si>
  <si>
    <t xml:space="preserve">Combined ratio finite</t>
  </si>
  <si>
    <t xml:space="preserve">Capital requirement positive</t>
  </si>
  <si>
    <t xml:space="preserve">Embedded value finite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</si>
  <si>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</si>
  <si>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</si>
  <si>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</si>
  <si>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</si>
  <si>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</si>
  <si>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Actuarial loss data</t>
  </si>
  <si>
    <t xml:space="preserve">[claims system / public filing]</t>
  </si>
  <si>
    <t xml:space="preserve">[valuation date]</t>
  </si>
  <si>
    <t xml:space="preserve">Paid, incurred, case reserve, claim counts</t>
  </si>
  <si>
    <t xml:space="preserve">Premium and exposure data</t>
  </si>
  <si>
    <t xml:space="preserve">[policy administration source]</t>
  </si>
  <si>
    <t xml:space="preserve">[period]</t>
  </si>
  <si>
    <t xml:space="preserve">Earned premium, rate, mix, exposure</t>
  </si>
  <si>
    <t xml:space="preserve">Reinsurance contracts</t>
  </si>
  <si>
    <t xml:space="preserve">[treaty / facultative documentation]</t>
  </si>
  <si>
    <t xml:space="preserve">Limits, attachment, reinstatements, credit risk</t>
  </si>
  <si>
    <t xml:space="preserve">Capital methodology</t>
  </si>
  <si>
    <t xml:space="preserve">[regulator / internal methodology URL]</t>
  </si>
  <si>
    <t xml:space="preserve">[effective date]</t>
  </si>
  <si>
    <t xml:space="preserve">Risk factors, diversification, management actions</t>
  </si>
  <si>
    <t xml:space="preserve">Investment portfolio</t>
  </si>
  <si>
    <t xml:space="preserve">[asset ledger / filing]</t>
  </si>
  <si>
    <t xml:space="preserve">Yield, duration, credit, liquidity, unrealized gains</t>
  </si>
  <si>
    <t xml:space="preserve">AIG 2008 Form 10-K</t>
  </si>
  <si>
    <t xml:space="preserve">https://www.sec.gov/Archives/edgar/data/5272/000095012309006583/y74787e10vk.htm</t>
  </si>
  <si>
    <t xml:space="preserve">U.S. SEC; frozen curated observation as of case date</t>
  </si>
  <si>
    <t xml:space="preserve">Frozen source snapshot</t>
  </si>
  <si>
    <t xml:space="preserve">repo://18_Insurance_Actuarial/sources/snapshots/insurance-aig-2008.json</t>
  </si>
  <si>
    <t xml:space="preserve">Immutable curated observation package with SHA-256 digest</t>
  </si>
  <si>
    <t xml:space="preserve">Retained modeler assumption from insurance-adversarial-social-inflation.json</t>
  </si>
  <si>
    <t xml:space="preserve">repo://standards/benchmark_cases/insurance-adversarial-social-inflation.json</t>
  </si>
  <si>
    <t xml:space="preserve">Not an external observation; retained for sensitivity and transaction-structure completeness</t>
  </si>
  <si>
    <t xml:space="preserve">Capital stress calibrated to public filing</t>
  </si>
  <si>
    <t xml:space="preserve">Modeler-owned assumption documented in frozen snapshot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</si>
  <si>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</si>
  <si>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</si>
  <si>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</si>
  <si>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</si>
  <si>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</si>
  <si>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</si>
  <si>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</si>
  <si>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</si>
  <si>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insurance-aig-2008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</si>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</sst>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.00%;[RED]\(0.00%\);\-"/>
    <numFmt numFmtId="167" formatCode="\$#,##0.0;[RED]&quot;($&quot;#,##0.0\);\-"/>
    <numFmt numFmtId="168" formatCode="0.0\x;[RED]\(0.0&quot;x)&quot;;\-"/>
    <numFmt numFmtId="169" formatCode="0"/>
    <numFmt numFmtId="170" formatCode="0.0000\x"/>
    <numFmt numFmtId="171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4</v>
      </c>
    </row>
    <row r="8" customFormat="false" ht="15" hidden="false" customHeight="true" outlineLevel="0" collapsed="false">
      <c r="B8" s="3" t="s">
        <v>8</v>
      </c>
      <c r="C8" s="5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5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D14" s="1"/>
      <c r="E14" s="1"/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D15" s="1"/>
      <c r="E15" s="1"/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D16" s="1"/>
      <c r="E16" s="1"/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D17" s="1"/>
      <c r="E17" s="1"/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D18" s="1"/>
      <c r="E18" s="1"/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D22" s="1"/>
      <c r="E22" s="1"/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D23" s="1"/>
      <c r="E23" s="1"/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D24" s="1"/>
      <c r="E24" s="1"/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D25" s="1"/>
      <c r="E25" s="1"/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D26" s="1"/>
      <c r="E26" s="1"/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D30" s="1"/>
      <c r="E30" s="1"/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D31" s="1"/>
      <c r="E31" s="1"/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D32" s="1"/>
      <c r="E32" s="1"/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D33" s="1"/>
      <c r="E33" s="1"/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D34" s="1"/>
      <c r="E34" s="1"/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D38" s="1"/>
      <c r="E38" s="1"/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D39" s="1"/>
      <c r="E39" s="1"/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D40" s="1"/>
      <c r="E40" s="1"/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D41" s="1"/>
      <c r="E41" s="1"/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D42" s="1"/>
      <c r="E42" s="1"/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D46" s="1"/>
      <c r="E46" s="1"/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D47" s="1"/>
      <c r="E47" s="1"/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D48" s="1"/>
      <c r="E48" s="1"/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D49" s="1"/>
      <c r="E49" s="1"/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D50" s="1"/>
      <c r="E50" s="1"/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D54" s="1"/>
      <c r="E54" s="1"/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D55" s="1"/>
      <c r="E55" s="1"/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D56" s="1"/>
      <c r="E56" s="1"/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D57" s="1"/>
      <c r="E57" s="1"/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D58" s="1"/>
      <c r="E58" s="1"/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  <c r="F62" s="1"/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  <c r="F63" s="1"/>
    </row>
    <row r="64" customFormat="false" ht="15" hidden="false" customHeight="false" outlineLevel="0" collapsed="false">
      <c r="B64" s="1" t="s">
        <v>93</v>
      </c>
      <c r="C64" s="1" t="s">
        <v>94</v>
      </c>
      <c r="D64" s="1" t="s">
        <v>95</v>
      </c>
      <c r="E64" s="1" t="s">
        <v>89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96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  <c r="G4" s="14" t="s">
        <v>102</v>
      </c>
      <c r="H4" s="14" t="s">
        <v>43</v>
      </c>
      <c r="I4" s="14" t="s">
        <v>103</v>
      </c>
    </row>
    <row r="5" customFormat="false" ht="15" hidden="false" customHeight="false" outlineLevel="0" collapsed="false">
      <c r="B5" s="1"/>
      <c r="C5" s="1"/>
      <c r="D5" s="1" t="s">
        <v>69</v>
      </c>
      <c r="E5" s="1"/>
      <c r="F5" s="1"/>
      <c r="G5" s="1"/>
      <c r="H5" s="15" t="s">
        <v>45</v>
      </c>
      <c r="I5" s="1"/>
    </row>
    <row r="6" customFormat="false" ht="15" hidden="false" customHeight="false" outlineLevel="0" collapsed="false">
      <c r="B6" s="1"/>
      <c r="C6" s="1"/>
      <c r="D6" s="1" t="s">
        <v>70</v>
      </c>
      <c r="E6" s="1"/>
      <c r="F6" s="1"/>
      <c r="G6" s="1"/>
      <c r="H6" s="15" t="s">
        <v>45</v>
      </c>
      <c r="I6" s="1"/>
    </row>
    <row r="7" customFormat="false" ht="15" hidden="false" customHeight="false" outlineLevel="0" collapsed="false">
      <c r="B7" s="1"/>
      <c r="C7" s="1"/>
      <c r="D7" s="1" t="s">
        <v>71</v>
      </c>
      <c r="E7" s="1"/>
      <c r="F7" s="1"/>
      <c r="G7" s="1"/>
      <c r="H7" s="15" t="s">
        <v>45</v>
      </c>
      <c r="I7" s="1"/>
    </row>
    <row r="8" customFormat="false" ht="15" hidden="false" customHeight="false" outlineLevel="0" collapsed="false">
      <c r="B8" s="1"/>
      <c r="C8" s="1"/>
      <c r="D8" s="1" t="s">
        <v>72</v>
      </c>
      <c r="E8" s="1"/>
      <c r="F8" s="1"/>
      <c r="G8" s="1"/>
      <c r="H8" s="15" t="s">
        <v>45</v>
      </c>
      <c r="I8" s="1"/>
    </row>
    <row r="9" customFormat="false" ht="15" hidden="false" customHeight="false" outlineLevel="0" collapsed="false">
      <c r="B9" s="1"/>
      <c r="C9" s="1"/>
      <c r="D9" s="1" t="s">
        <v>73</v>
      </c>
      <c r="E9" s="1"/>
      <c r="F9" s="1"/>
      <c r="G9" s="1"/>
      <c r="H9" s="15" t="s">
        <v>45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104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105</v>
      </c>
      <c r="C4" s="14" t="s">
        <v>106</v>
      </c>
      <c r="D4" s="14" t="s">
        <v>107</v>
      </c>
      <c r="E4" s="14" t="s">
        <v>108</v>
      </c>
      <c r="F4" s="14" t="s">
        <v>109</v>
      </c>
      <c r="G4" s="14" t="s">
        <v>41</v>
      </c>
      <c r="H4" s="14" t="s">
        <v>110</v>
      </c>
      <c r="I4" s="14" t="s">
        <v>111</v>
      </c>
      <c r="J4" s="14" t="s">
        <v>43</v>
      </c>
    </row>
    <row r="5" customFormat="false" ht="15" hidden="false" customHeight="false" outlineLevel="0" collapsed="false">
      <c r="B5" s="1" t="s">
        <v>112</v>
      </c>
      <c r="C5" s="1" t="s">
        <v>113</v>
      </c>
      <c r="D5" s="1" t="s">
        <v>114</v>
      </c>
      <c r="E5" s="1"/>
      <c r="F5" s="1"/>
      <c r="G5" s="1"/>
      <c r="H5" s="1"/>
      <c r="I5" s="1"/>
      <c r="J5" s="15" t="s">
        <v>115</v>
      </c>
    </row>
    <row r="6" customFormat="false" ht="15" hidden="false" customHeight="false" outlineLevel="0" collapsed="false">
      <c r="B6" s="1" t="s">
        <v>116</v>
      </c>
      <c r="C6" s="1" t="s">
        <v>113</v>
      </c>
      <c r="D6" s="1" t="s">
        <v>117</v>
      </c>
      <c r="E6" s="1"/>
      <c r="F6" s="1"/>
      <c r="G6" s="1"/>
      <c r="H6" s="1"/>
      <c r="I6" s="1"/>
      <c r="J6" s="15" t="s">
        <v>115</v>
      </c>
    </row>
    <row r="7" customFormat="false" ht="15" hidden="false" customHeight="false" outlineLevel="0" collapsed="false">
      <c r="B7" s="1" t="s">
        <v>118</v>
      </c>
      <c r="C7" s="1" t="s">
        <v>119</v>
      </c>
      <c r="D7" s="1" t="s">
        <v>120</v>
      </c>
      <c r="E7" s="1"/>
      <c r="F7" s="1"/>
      <c r="G7" s="1"/>
      <c r="H7" s="1"/>
      <c r="I7" s="1"/>
      <c r="J7" s="15" t="s">
        <v>115</v>
      </c>
    </row>
    <row r="8" customFormat="false" ht="15" hidden="false" customHeight="false" outlineLevel="0" collapsed="false">
      <c r="B8" s="1" t="s">
        <v>121</v>
      </c>
      <c r="C8" s="1" t="s">
        <v>122</v>
      </c>
      <c r="D8" s="1" t="s">
        <v>123</v>
      </c>
      <c r="E8" s="1"/>
      <c r="F8" s="1"/>
      <c r="G8" s="1"/>
      <c r="H8" s="1"/>
      <c r="I8" s="1"/>
      <c r="J8" s="15" t="s">
        <v>115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124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125</v>
      </c>
      <c r="C4" s="16" t="s">
        <v>126</v>
      </c>
      <c r="D4" s="16" t="s">
        <v>11</v>
      </c>
      <c r="E4" s="16" t="s">
        <v>127</v>
      </c>
      <c r="F4" s="16" t="s">
        <v>128</v>
      </c>
    </row>
    <row r="5" customFormat="false" ht="15" hidden="false" customHeight="true" outlineLevel="0" collapsed="false">
      <c r="B5" s="1" t="s">
        <v>129</v>
      </c>
      <c r="C5" s="17" t="n">
        <v>0.62</v>
      </c>
      <c r="D5" s="18" t="n">
        <v>1.05</v>
      </c>
      <c r="E5" s="19" t="n">
        <f aca="false">IF(Cover!$C$9="Downside",D5,C5)</f>
        <v>1.05</v>
      </c>
      <c r="F5" s="1" t="s">
        <v>130</v>
      </c>
    </row>
    <row r="6" customFormat="false" ht="15" hidden="false" customHeight="true" outlineLevel="0" collapsed="false">
      <c r="B6" s="1" t="s">
        <v>131</v>
      </c>
      <c r="C6" s="17" t="n">
        <v>0.28</v>
      </c>
      <c r="D6" s="17" t="n">
        <v>0.32</v>
      </c>
      <c r="E6" s="19" t="n">
        <f aca="false">IF(Cover!$C$9="Downside",D6,C6)</f>
        <v>0.32</v>
      </c>
      <c r="F6" s="1" t="s">
        <v>130</v>
      </c>
    </row>
    <row r="7" customFormat="false" ht="15" hidden="false" customHeight="true" outlineLevel="0" collapsed="false">
      <c r="B7" s="1" t="s">
        <v>132</v>
      </c>
      <c r="C7" s="17" t="n">
        <v>0.05</v>
      </c>
      <c r="D7" s="17" t="n">
        <v>-0.05</v>
      </c>
      <c r="E7" s="19" t="n">
        <f aca="false">IF(Cover!$C$9="Downside",D7,C7)</f>
        <v>-0.05</v>
      </c>
      <c r="F7" s="1" t="s">
        <v>130</v>
      </c>
    </row>
    <row r="8" customFormat="false" ht="15" hidden="false" customHeight="true" outlineLevel="0" collapsed="false">
      <c r="B8" s="1" t="s">
        <v>133</v>
      </c>
      <c r="C8" s="17" t="n">
        <v>0.035</v>
      </c>
      <c r="D8" s="18" t="n">
        <v>0.12</v>
      </c>
      <c r="E8" s="19" t="n">
        <f aca="false">IF(Cover!$C$9="Downside",D8,C8)</f>
        <v>0.12</v>
      </c>
      <c r="F8" s="1" t="s">
        <v>130</v>
      </c>
    </row>
    <row r="9" customFormat="false" ht="15" hidden="false" customHeight="true" outlineLevel="0" collapsed="false">
      <c r="B9" s="1" t="s">
        <v>134</v>
      </c>
      <c r="C9" s="20" t="n">
        <v>0.045</v>
      </c>
      <c r="D9" s="20" t="n">
        <v>0.035</v>
      </c>
      <c r="E9" s="21" t="n">
        <f aca="false">IF(Cover!$C$9="Downside",D9,C9)</f>
        <v>0.035</v>
      </c>
      <c r="F9" s="1" t="s">
        <v>130</v>
      </c>
    </row>
    <row r="10" customFormat="false" ht="15" hidden="false" customHeight="true" outlineLevel="0" collapsed="false">
      <c r="B10" s="1" t="s">
        <v>135</v>
      </c>
      <c r="C10" s="17" t="n">
        <v>0.08</v>
      </c>
      <c r="D10" s="18" t="n">
        <v>0.22</v>
      </c>
      <c r="E10" s="19" t="n">
        <f aca="false">IF(Cover!$C$9="Downside",D10,C10)</f>
        <v>0.22</v>
      </c>
      <c r="F10" s="1" t="s">
        <v>130</v>
      </c>
    </row>
    <row r="11" customFormat="false" ht="15" hidden="false" customHeight="true" outlineLevel="0" collapsed="false">
      <c r="B11" s="1" t="s">
        <v>136</v>
      </c>
      <c r="C11" s="22" t="n">
        <v>500</v>
      </c>
      <c r="D11" s="22" t="n">
        <v>500</v>
      </c>
      <c r="E11" s="23" t="n">
        <f aca="false">IF(Cover!$C$9="Downside",D11,C11)</f>
        <v>500</v>
      </c>
      <c r="F11" s="1" t="s">
        <v>137</v>
      </c>
    </row>
    <row r="12" customFormat="false" ht="15" hidden="false" customHeight="true" outlineLevel="0" collapsed="false">
      <c r="B12" s="1" t="s">
        <v>138</v>
      </c>
      <c r="C12" s="22" t="n">
        <v>900</v>
      </c>
      <c r="D12" s="22" t="n">
        <v>900</v>
      </c>
      <c r="E12" s="23" t="n">
        <f aca="false">IF(Cover!$C$9="Downside",D12,C12)</f>
        <v>900</v>
      </c>
      <c r="F12" s="1" t="s">
        <v>137</v>
      </c>
    </row>
    <row r="13" customFormat="false" ht="15" hidden="false" customHeight="true" outlineLevel="0" collapsed="false">
      <c r="B13" s="1" t="s">
        <v>139</v>
      </c>
      <c r="C13" s="20" t="n">
        <v>0.04</v>
      </c>
      <c r="D13" s="20" t="n">
        <v>0.025</v>
      </c>
      <c r="E13" s="21" t="n">
        <f aca="false">IF(Cover!$C$9="Downside",D13,C13)</f>
        <v>0.025</v>
      </c>
      <c r="F13" s="1" t="s">
        <v>130</v>
      </c>
    </row>
    <row r="14" customFormat="false" ht="15" hidden="false" customHeight="true" outlineLevel="0" collapsed="false">
      <c r="B14" s="1" t="s">
        <v>140</v>
      </c>
      <c r="C14" s="22" t="n">
        <v>350</v>
      </c>
      <c r="D14" s="22" t="n">
        <v>350</v>
      </c>
      <c r="E14" s="23" t="n">
        <f aca="false">IF(Cover!$C$9="Downside",D14,C14)</f>
        <v>350</v>
      </c>
      <c r="F14" s="1" t="s">
        <v>137</v>
      </c>
    </row>
    <row r="15" customFormat="false" ht="15" hidden="false" customHeight="true" outlineLevel="0" collapsed="false">
      <c r="B15" s="1" t="s">
        <v>141</v>
      </c>
      <c r="C15" s="17" t="n">
        <v>0.18</v>
      </c>
      <c r="D15" s="17" t="n">
        <v>0.24</v>
      </c>
      <c r="E15" s="19" t="n">
        <f aca="false">IF(Cover!$C$9="Downside",D15,C15)</f>
        <v>0.24</v>
      </c>
      <c r="F15" s="1" t="s">
        <v>142</v>
      </c>
    </row>
    <row r="16" customFormat="false" ht="15" hidden="false" customHeight="true" outlineLevel="0" collapsed="false">
      <c r="B16" s="1" t="s">
        <v>143</v>
      </c>
      <c r="C16" s="17" t="n">
        <v>0.12</v>
      </c>
      <c r="D16" s="17" t="n">
        <v>0.18</v>
      </c>
      <c r="E16" s="19" t="n">
        <f aca="false">IF(Cover!$C$9="Downside",D16,C16)</f>
        <v>0.18</v>
      </c>
      <c r="F16" s="1" t="s">
        <v>144</v>
      </c>
    </row>
    <row r="17" customFormat="false" ht="15" hidden="false" customHeight="true" outlineLevel="0" collapsed="false">
      <c r="B17" s="1" t="s">
        <v>145</v>
      </c>
      <c r="C17" s="17" t="n">
        <v>0.08</v>
      </c>
      <c r="D17" s="18" t="n">
        <v>0.2</v>
      </c>
      <c r="E17" s="19" t="n">
        <f aca="false">IF(Cover!$C$9="Downside",D17,C17)</f>
        <v>0.2</v>
      </c>
      <c r="F17" s="1" t="s">
        <v>146</v>
      </c>
    </row>
    <row r="18" customFormat="false" ht="15" hidden="false" customHeight="true" outlineLevel="0" collapsed="false">
      <c r="B18" s="1" t="s">
        <v>147</v>
      </c>
      <c r="C18" s="24" t="n">
        <v>1.5</v>
      </c>
      <c r="D18" s="24" t="n">
        <v>1.5</v>
      </c>
      <c r="E18" s="25" t="n">
        <f aca="false">IF(Cover!$C$9="Downside",D18,C18)</f>
        <v>1.5</v>
      </c>
      <c r="F18" s="1" t="s">
        <v>148</v>
      </c>
    </row>
    <row r="19" customFormat="false" ht="15" hidden="false" customHeight="true" outlineLevel="0" collapsed="false">
      <c r="B19" s="1" t="s">
        <v>149</v>
      </c>
      <c r="C19" s="17" t="n">
        <v>0.1</v>
      </c>
      <c r="D19" s="17" t="n">
        <v>0.12</v>
      </c>
      <c r="E19" s="19" t="n">
        <f aca="false">IF(Cover!$C$9="Downside",D19,C19)</f>
        <v>0.12</v>
      </c>
      <c r="F19" s="1" t="s">
        <v>130</v>
      </c>
    </row>
    <row r="20" customFormat="false" ht="15" hidden="false" customHeight="true" outlineLevel="0" collapsed="false">
      <c r="B20" s="1" t="s">
        <v>150</v>
      </c>
      <c r="C20" s="26" t="n">
        <v>5</v>
      </c>
      <c r="D20" s="26" t="n">
        <v>5</v>
      </c>
      <c r="E20" s="27" t="n">
        <f aca="false">IF(Cover!$C$9="Downside",D20,C20)</f>
        <v>5</v>
      </c>
      <c r="F20" s="1" t="s">
        <v>151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152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153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</row>
    <row r="5" customFormat="false" ht="15" hidden="false" customHeight="true" outlineLevel="0" collapsed="false">
      <c r="B5" s="1" t="n">
        <v>2017</v>
      </c>
      <c r="C5" s="22" t="n">
        <v>64.4</v>
      </c>
      <c r="D5" s="22" t="n">
        <v>110.4</v>
      </c>
      <c r="E5" s="22" t="n">
        <v>144.9</v>
      </c>
      <c r="F5" s="22" t="n">
        <v>167.9</v>
      </c>
      <c r="G5" s="22" t="n">
        <v>186.3</v>
      </c>
      <c r="H5" s="22" t="n">
        <v>200.1</v>
      </c>
      <c r="I5" s="22" t="n">
        <v>209.3</v>
      </c>
      <c r="J5" s="22" t="n">
        <v>216.2</v>
      </c>
      <c r="K5" s="22" t="n">
        <v>223.1</v>
      </c>
      <c r="L5" s="22" t="n">
        <v>230</v>
      </c>
    </row>
    <row r="6" customFormat="false" ht="15" hidden="false" customHeight="true" outlineLevel="0" collapsed="false">
      <c r="B6" s="1" t="n">
        <v>2018</v>
      </c>
      <c r="C6" s="22" t="n">
        <v>68.6</v>
      </c>
      <c r="D6" s="22" t="n">
        <v>117.6</v>
      </c>
      <c r="E6" s="22" t="n">
        <v>154.35</v>
      </c>
      <c r="F6" s="22" t="n">
        <v>178.85</v>
      </c>
      <c r="G6" s="22" t="n">
        <v>198.45</v>
      </c>
      <c r="H6" s="22" t="n">
        <v>213.15</v>
      </c>
      <c r="I6" s="22" t="n">
        <v>222.95</v>
      </c>
      <c r="J6" s="22" t="n">
        <v>230.3</v>
      </c>
      <c r="K6" s="22" t="n">
        <v>237.65</v>
      </c>
    </row>
    <row r="7" customFormat="false" ht="15" hidden="false" customHeight="true" outlineLevel="0" collapsed="false">
      <c r="B7" s="1" t="n">
        <v>2019</v>
      </c>
      <c r="C7" s="22" t="n">
        <v>71.4</v>
      </c>
      <c r="D7" s="22" t="n">
        <v>122.4</v>
      </c>
      <c r="E7" s="22" t="n">
        <v>160.65</v>
      </c>
      <c r="F7" s="22" t="n">
        <v>186.15</v>
      </c>
      <c r="G7" s="22" t="n">
        <v>206.55</v>
      </c>
      <c r="H7" s="22" t="n">
        <v>221.85</v>
      </c>
      <c r="I7" s="22" t="n">
        <v>232.05</v>
      </c>
      <c r="J7" s="22" t="n">
        <v>239.7</v>
      </c>
    </row>
    <row r="8" customFormat="false" ht="15" hidden="false" customHeight="true" outlineLevel="0" collapsed="false">
      <c r="B8" s="1" t="n">
        <v>2020</v>
      </c>
      <c r="C8" s="22" t="n">
        <v>75.6</v>
      </c>
      <c r="D8" s="22" t="n">
        <v>129.6</v>
      </c>
      <c r="E8" s="22" t="n">
        <v>170.1</v>
      </c>
      <c r="F8" s="22" t="n">
        <v>197.1</v>
      </c>
      <c r="G8" s="22" t="n">
        <v>218.7</v>
      </c>
      <c r="H8" s="22" t="n">
        <v>234.9</v>
      </c>
      <c r="I8" s="22" t="n">
        <v>245.7</v>
      </c>
    </row>
    <row r="9" customFormat="false" ht="15" hidden="false" customHeight="true" outlineLevel="0" collapsed="false">
      <c r="B9" s="1" t="n">
        <v>2021</v>
      </c>
      <c r="C9" s="22" t="n">
        <v>79.8</v>
      </c>
      <c r="D9" s="22" t="n">
        <v>136.8</v>
      </c>
      <c r="E9" s="22" t="n">
        <v>179.55</v>
      </c>
      <c r="F9" s="22" t="n">
        <v>208.05</v>
      </c>
      <c r="G9" s="22" t="n">
        <v>230.85</v>
      </c>
      <c r="H9" s="22" t="n">
        <v>247.95</v>
      </c>
    </row>
    <row r="10" customFormat="false" ht="15" hidden="false" customHeight="true" outlineLevel="0" collapsed="false">
      <c r="B10" s="1" t="n">
        <v>2022</v>
      </c>
      <c r="C10" s="22" t="n">
        <v>84</v>
      </c>
      <c r="D10" s="22" t="n">
        <v>144</v>
      </c>
      <c r="E10" s="22" t="n">
        <v>189</v>
      </c>
      <c r="F10" s="22" t="n">
        <v>219</v>
      </c>
      <c r="G10" s="22" t="n">
        <v>243</v>
      </c>
    </row>
    <row r="11" customFormat="false" ht="15" hidden="false" customHeight="true" outlineLevel="0" collapsed="false">
      <c r="B11" s="1" t="n">
        <v>2023</v>
      </c>
      <c r="C11" s="22" t="n">
        <v>89.6</v>
      </c>
      <c r="D11" s="22" t="n">
        <v>153.6</v>
      </c>
      <c r="E11" s="22" t="n">
        <v>201.6</v>
      </c>
      <c r="F11" s="22" t="n">
        <v>233.6</v>
      </c>
    </row>
    <row r="12" customFormat="false" ht="15" hidden="false" customHeight="true" outlineLevel="0" collapsed="false">
      <c r="B12" s="1" t="n">
        <v>2024</v>
      </c>
      <c r="C12" s="22" t="n">
        <v>93.8</v>
      </c>
      <c r="D12" s="22" t="n">
        <v>160.8</v>
      </c>
      <c r="E12" s="22" t="n">
        <v>211.05</v>
      </c>
    </row>
    <row r="13" customFormat="false" ht="15" hidden="false" customHeight="true" outlineLevel="0" collapsed="false">
      <c r="B13" s="1" t="n">
        <v>2025</v>
      </c>
      <c r="C13" s="22" t="n">
        <v>99.4</v>
      </c>
      <c r="D13" s="22" t="n">
        <v>170.4</v>
      </c>
    </row>
    <row r="14" customFormat="false" ht="15" hidden="false" customHeight="true" outlineLevel="0" collapsed="false">
      <c r="B14" s="1" t="n">
        <v>2026</v>
      </c>
      <c r="C14" s="22" t="n">
        <v>105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14" min="3" style="1" width="13"/>
  </cols>
  <sheetData>
    <row r="2" customFormat="false" ht="27.75" hidden="false" customHeight="true" outlineLevel="0" collapsed="false">
      <c r="B2" s="2" t="s">
        <v>164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B4" s="16" t="s">
        <v>165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  <c r="M4" s="16" t="s">
        <v>166</v>
      </c>
      <c r="N4" s="16" t="s">
        <v>167</v>
      </c>
    </row>
    <row r="5" customFormat="false" ht="15" hidden="false" customHeight="true" outlineLevel="0" collapsed="false">
      <c r="B5" s="1" t="s">
        <v>168</v>
      </c>
      <c r="C5" s="28" t="n">
        <f aca="false">IFERROR(SUM('Paid Triangle'!D5:D13)/SUM('Paid Triangle'!C5:C13),1)</f>
        <v>1.71428571428571</v>
      </c>
      <c r="D5" s="28" t="n">
        <f aca="false">IFERROR(SUM('Paid Triangle'!E5:E12)/SUM('Paid Triangle'!D5:D12),1)</f>
        <v>1.3125</v>
      </c>
      <c r="E5" s="28" t="n">
        <f aca="false">IFERROR(SUM('Paid Triangle'!F5:F11)/SUM('Paid Triangle'!E5:E11),1)</f>
        <v>1.15873015873016</v>
      </c>
      <c r="F5" s="28" t="n">
        <f aca="false">IFERROR(SUM('Paid Triangle'!G5:G10)/SUM('Paid Triangle'!F5:F10),1)</f>
        <v>1.10958904109589</v>
      </c>
      <c r="G5" s="28" t="n">
        <f aca="false">IFERROR(SUM('Paid Triangle'!H5:H9)/SUM('Paid Triangle'!G5:G9),1)</f>
        <v>1.07407407407407</v>
      </c>
      <c r="H5" s="28" t="n">
        <f aca="false">IFERROR(SUM('Paid Triangle'!I5:I8)/SUM('Paid Triangle'!H5:H8),1)</f>
        <v>1.04597701149425</v>
      </c>
      <c r="I5" s="28" t="n">
        <f aca="false">IFERROR(SUM('Paid Triangle'!J5:J7)/SUM('Paid Triangle'!I5:I7),1)</f>
        <v>1.03296703296703</v>
      </c>
      <c r="J5" s="28" t="n">
        <f aca="false">IFERROR(SUM('Paid Triangle'!K5:K6)/SUM('Paid Triangle'!J5:J6),1)</f>
        <v>1.03191489361702</v>
      </c>
      <c r="K5" s="28" t="n">
        <f aca="false">IFERROR(SUM('Paid Triangle'!L5:L5)/SUM('Paid Triangle'!K5:K5),1)</f>
        <v>1.03092783505155</v>
      </c>
      <c r="L5" s="28" t="n">
        <v>1</v>
      </c>
    </row>
    <row r="6" customFormat="false" ht="15" hidden="false" customHeight="true" outlineLevel="0" collapsed="false">
      <c r="B6" s="1" t="s">
        <v>169</v>
      </c>
      <c r="C6" s="28" t="n">
        <f aca="false">PRODUCT(C$5:$K$5)</f>
        <v>3.57142857142857</v>
      </c>
      <c r="D6" s="28" t="n">
        <f aca="false">PRODUCT(D$5:$K$5)</f>
        <v>2.08333333333333</v>
      </c>
      <c r="E6" s="28" t="n">
        <f aca="false">PRODUCT(E$5:$K$5)</f>
        <v>1.58730158730159</v>
      </c>
      <c r="F6" s="28" t="n">
        <f aca="false">PRODUCT(F$5:$K$5)</f>
        <v>1.36986301369863</v>
      </c>
      <c r="G6" s="28" t="n">
        <f aca="false">PRODUCT(G$5:$K$5)</f>
        <v>1.23456790123457</v>
      </c>
      <c r="H6" s="28" t="n">
        <f aca="false">PRODUCT(H$5:$K$5)</f>
        <v>1.14942528735632</v>
      </c>
      <c r="I6" s="28" t="n">
        <f aca="false">PRODUCT(I$5:$K$5)</f>
        <v>1.0989010989011</v>
      </c>
      <c r="J6" s="28" t="n">
        <f aca="false">PRODUCT(J$5:$K$5)</f>
        <v>1.06382978723404</v>
      </c>
      <c r="K6" s="28" t="n">
        <f aca="false">PRODUCT(K$5:$K$5)</f>
        <v>1.03092783505155</v>
      </c>
      <c r="L6" s="28" t="n">
        <v>1</v>
      </c>
    </row>
    <row r="8" customFormat="false" ht="15" hidden="false" customHeight="true" outlineLevel="0" collapsed="false">
      <c r="B8" s="1" t="n">
        <f aca="false">'Paid Triangle'!B5</f>
        <v>2017</v>
      </c>
      <c r="C8" s="23" t="n">
        <f aca="false">'Paid Triangle'!C5</f>
        <v>64.4</v>
      </c>
      <c r="D8" s="23" t="n">
        <f aca="false">'Paid Triangle'!D5</f>
        <v>110.4</v>
      </c>
      <c r="E8" s="23" t="n">
        <f aca="false">'Paid Triangle'!E5</f>
        <v>144.9</v>
      </c>
      <c r="F8" s="23" t="n">
        <f aca="false">'Paid Triangle'!F5</f>
        <v>167.9</v>
      </c>
      <c r="G8" s="23" t="n">
        <f aca="false">'Paid Triangle'!G5</f>
        <v>186.3</v>
      </c>
      <c r="H8" s="23" t="n">
        <f aca="false">'Paid Triangle'!H5</f>
        <v>200.1</v>
      </c>
      <c r="I8" s="23" t="n">
        <f aca="false">'Paid Triangle'!I5</f>
        <v>209.3</v>
      </c>
      <c r="J8" s="23" t="n">
        <f aca="false">'Paid Triangle'!J5</f>
        <v>216.2</v>
      </c>
      <c r="K8" s="23" t="n">
        <f aca="false">'Paid Triangle'!K5</f>
        <v>223.1</v>
      </c>
      <c r="L8" s="23" t="n">
        <f aca="false">'Paid Triangle'!L5</f>
        <v>230</v>
      </c>
      <c r="M8" s="23" t="n">
        <f aca="false">'Paid Triangle'!L5*L$6</f>
        <v>230</v>
      </c>
      <c r="N8" s="23" t="n">
        <f aca="false">M8-'Paid Triangle'!L5</f>
        <v>0</v>
      </c>
    </row>
    <row r="9" customFormat="false" ht="15" hidden="false" customHeight="true" outlineLevel="0" collapsed="false">
      <c r="B9" s="1" t="n">
        <f aca="false">'Paid Triangle'!B6</f>
        <v>2018</v>
      </c>
      <c r="C9" s="23" t="n">
        <f aca="false">'Paid Triangle'!C6</f>
        <v>68.6</v>
      </c>
      <c r="D9" s="23" t="n">
        <f aca="false">'Paid Triangle'!D6</f>
        <v>117.6</v>
      </c>
      <c r="E9" s="23" t="n">
        <f aca="false">'Paid Triangle'!E6</f>
        <v>154.35</v>
      </c>
      <c r="F9" s="23" t="n">
        <f aca="false">'Paid Triangle'!F6</f>
        <v>178.85</v>
      </c>
      <c r="G9" s="23" t="n">
        <f aca="false">'Paid Triangle'!G6</f>
        <v>198.45</v>
      </c>
      <c r="H9" s="23" t="n">
        <f aca="false">'Paid Triangle'!H6</f>
        <v>213.15</v>
      </c>
      <c r="I9" s="23" t="n">
        <f aca="false">'Paid Triangle'!I6</f>
        <v>222.95</v>
      </c>
      <c r="J9" s="23" t="n">
        <f aca="false">'Paid Triangle'!J6</f>
        <v>230.3</v>
      </c>
      <c r="K9" s="23" t="n">
        <f aca="false">'Paid Triangle'!K6</f>
        <v>237.65</v>
      </c>
      <c r="M9" s="23" t="n">
        <f aca="false">'Paid Triangle'!K6*K$6</f>
        <v>245</v>
      </c>
      <c r="N9" s="23" t="n">
        <f aca="false">M9-'Paid Triangle'!K6</f>
        <v>7.35000000000002</v>
      </c>
    </row>
    <row r="10" customFormat="false" ht="15" hidden="false" customHeight="true" outlineLevel="0" collapsed="false">
      <c r="B10" s="1" t="n">
        <f aca="false">'Paid Triangle'!B7</f>
        <v>2019</v>
      </c>
      <c r="C10" s="23" t="n">
        <f aca="false">'Paid Triangle'!C7</f>
        <v>71.4</v>
      </c>
      <c r="D10" s="23" t="n">
        <f aca="false">'Paid Triangle'!D7</f>
        <v>122.4</v>
      </c>
      <c r="E10" s="23" t="n">
        <f aca="false">'Paid Triangle'!E7</f>
        <v>160.65</v>
      </c>
      <c r="F10" s="23" t="n">
        <f aca="false">'Paid Triangle'!F7</f>
        <v>186.15</v>
      </c>
      <c r="G10" s="23" t="n">
        <f aca="false">'Paid Triangle'!G7</f>
        <v>206.55</v>
      </c>
      <c r="H10" s="23" t="n">
        <f aca="false">'Paid Triangle'!H7</f>
        <v>221.85</v>
      </c>
      <c r="I10" s="23" t="n">
        <f aca="false">'Paid Triangle'!I7</f>
        <v>232.05</v>
      </c>
      <c r="J10" s="23" t="n">
        <f aca="false">'Paid Triangle'!J7</f>
        <v>239.7</v>
      </c>
      <c r="M10" s="23" t="n">
        <f aca="false">'Paid Triangle'!J7*J$6</f>
        <v>255</v>
      </c>
      <c r="N10" s="23" t="n">
        <f aca="false">M10-'Paid Triangle'!J7</f>
        <v>15.3</v>
      </c>
    </row>
    <row r="11" customFormat="false" ht="15" hidden="false" customHeight="true" outlineLevel="0" collapsed="false">
      <c r="B11" s="1" t="n">
        <f aca="false">'Paid Triangle'!B8</f>
        <v>2020</v>
      </c>
      <c r="C11" s="23" t="n">
        <f aca="false">'Paid Triangle'!C8</f>
        <v>75.6</v>
      </c>
      <c r="D11" s="23" t="n">
        <f aca="false">'Paid Triangle'!D8</f>
        <v>129.6</v>
      </c>
      <c r="E11" s="23" t="n">
        <f aca="false">'Paid Triangle'!E8</f>
        <v>170.1</v>
      </c>
      <c r="F11" s="23" t="n">
        <f aca="false">'Paid Triangle'!F8</f>
        <v>197.1</v>
      </c>
      <c r="G11" s="23" t="n">
        <f aca="false">'Paid Triangle'!G8</f>
        <v>218.7</v>
      </c>
      <c r="H11" s="23" t="n">
        <f aca="false">'Paid Triangle'!H8</f>
        <v>234.9</v>
      </c>
      <c r="I11" s="23" t="n">
        <f aca="false">'Paid Triangle'!I8</f>
        <v>245.7</v>
      </c>
      <c r="M11" s="23" t="n">
        <f aca="false">'Paid Triangle'!I8*I$6</f>
        <v>270</v>
      </c>
      <c r="N11" s="23" t="n">
        <f aca="false">M11-'Paid Triangle'!I8</f>
        <v>24.3</v>
      </c>
    </row>
    <row r="12" customFormat="false" ht="15" hidden="false" customHeight="true" outlineLevel="0" collapsed="false">
      <c r="B12" s="1" t="n">
        <f aca="false">'Paid Triangle'!B9</f>
        <v>2021</v>
      </c>
      <c r="C12" s="23" t="n">
        <f aca="false">'Paid Triangle'!C9</f>
        <v>79.8</v>
      </c>
      <c r="D12" s="23" t="n">
        <f aca="false">'Paid Triangle'!D9</f>
        <v>136.8</v>
      </c>
      <c r="E12" s="23" t="n">
        <f aca="false">'Paid Triangle'!E9</f>
        <v>179.55</v>
      </c>
      <c r="F12" s="23" t="n">
        <f aca="false">'Paid Triangle'!F9</f>
        <v>208.05</v>
      </c>
      <c r="G12" s="23" t="n">
        <f aca="false">'Paid Triangle'!G9</f>
        <v>230.85</v>
      </c>
      <c r="H12" s="23" t="n">
        <f aca="false">'Paid Triangle'!H9</f>
        <v>247.95</v>
      </c>
      <c r="M12" s="23" t="n">
        <f aca="false">'Paid Triangle'!H9*H$6</f>
        <v>285</v>
      </c>
      <c r="N12" s="23" t="n">
        <f aca="false">M12-'Paid Triangle'!H9</f>
        <v>37.05</v>
      </c>
    </row>
    <row r="13" customFormat="false" ht="15" hidden="false" customHeight="true" outlineLevel="0" collapsed="false">
      <c r="B13" s="1" t="n">
        <f aca="false">'Paid Triangle'!B10</f>
        <v>2022</v>
      </c>
      <c r="C13" s="23" t="n">
        <f aca="false">'Paid Triangle'!C10</f>
        <v>84</v>
      </c>
      <c r="D13" s="23" t="n">
        <f aca="false">'Paid Triangle'!D10</f>
        <v>144</v>
      </c>
      <c r="E13" s="23" t="n">
        <f aca="false">'Paid Triangle'!E10</f>
        <v>189</v>
      </c>
      <c r="F13" s="23" t="n">
        <f aca="false">'Paid Triangle'!F10</f>
        <v>219</v>
      </c>
      <c r="G13" s="23" t="n">
        <f aca="false">'Paid Triangle'!G10</f>
        <v>243</v>
      </c>
      <c r="M13" s="23" t="n">
        <f aca="false">'Paid Triangle'!G10*G$6</f>
        <v>300</v>
      </c>
      <c r="N13" s="23" t="n">
        <f aca="false">M13-'Paid Triangle'!G10</f>
        <v>57.0000000000001</v>
      </c>
    </row>
    <row r="14" customFormat="false" ht="15" hidden="false" customHeight="true" outlineLevel="0" collapsed="false">
      <c r="B14" s="1" t="n">
        <f aca="false">'Paid Triangle'!B11</f>
        <v>2023</v>
      </c>
      <c r="C14" s="23" t="n">
        <f aca="false">'Paid Triangle'!C11</f>
        <v>89.6</v>
      </c>
      <c r="D14" s="23" t="n">
        <f aca="false">'Paid Triangle'!D11</f>
        <v>153.6</v>
      </c>
      <c r="E14" s="23" t="n">
        <f aca="false">'Paid Triangle'!E11</f>
        <v>201.6</v>
      </c>
      <c r="F14" s="23" t="n">
        <f aca="false">'Paid Triangle'!F11</f>
        <v>233.6</v>
      </c>
      <c r="M14" s="23" t="n">
        <f aca="false">'Paid Triangle'!F11*F$6</f>
        <v>320</v>
      </c>
      <c r="N14" s="23" t="n">
        <f aca="false">M14-'Paid Triangle'!F11</f>
        <v>86.4000000000001</v>
      </c>
    </row>
    <row r="15" customFormat="false" ht="15" hidden="false" customHeight="true" outlineLevel="0" collapsed="false">
      <c r="B15" s="1" t="n">
        <f aca="false">'Paid Triangle'!B12</f>
        <v>2024</v>
      </c>
      <c r="C15" s="23" t="n">
        <f aca="false">'Paid Triangle'!C12</f>
        <v>93.8</v>
      </c>
      <c r="D15" s="23" t="n">
        <f aca="false">'Paid Triangle'!D12</f>
        <v>160.8</v>
      </c>
      <c r="E15" s="23" t="n">
        <f aca="false">'Paid Triangle'!E12</f>
        <v>211.05</v>
      </c>
      <c r="M15" s="23" t="n">
        <f aca="false">'Paid Triangle'!E12*E$6</f>
        <v>335</v>
      </c>
      <c r="N15" s="23" t="n">
        <f aca="false">M15-'Paid Triangle'!E12</f>
        <v>123.95</v>
      </c>
    </row>
    <row r="16" customFormat="false" ht="15" hidden="false" customHeight="true" outlineLevel="0" collapsed="false">
      <c r="B16" s="1" t="n">
        <f aca="false">'Paid Triangle'!B13</f>
        <v>2025</v>
      </c>
      <c r="C16" s="23" t="n">
        <f aca="false">'Paid Triangle'!C13</f>
        <v>99.4</v>
      </c>
      <c r="D16" s="23" t="n">
        <f aca="false">'Paid Triangle'!D13</f>
        <v>170.4</v>
      </c>
      <c r="M16" s="23" t="n">
        <f aca="false">'Paid Triangle'!D13*D$6</f>
        <v>355</v>
      </c>
      <c r="N16" s="23" t="n">
        <f aca="false">M16-'Paid Triangle'!D13</f>
        <v>184.6</v>
      </c>
    </row>
    <row r="17" customFormat="false" ht="15" hidden="false" customHeight="true" outlineLevel="0" collapsed="false">
      <c r="B17" s="1" t="n">
        <f aca="false">'Paid Triangle'!B14</f>
        <v>2026</v>
      </c>
      <c r="C17" s="23" t="n">
        <f aca="false">'Paid Triangle'!C14</f>
        <v>105</v>
      </c>
      <c r="M17" s="23" t="n">
        <f aca="false">'Paid Triangle'!C14*C$6</f>
        <v>375</v>
      </c>
      <c r="N17" s="23" t="n">
        <f aca="false">M17-'Paid Triangle'!C14</f>
        <v>270</v>
      </c>
    </row>
    <row r="18" customFormat="false" ht="15" hidden="false" customHeight="true" outlineLevel="0" collapsed="false">
      <c r="B18" s="29" t="s">
        <v>170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 t="n">
        <f aca="false">SUM(M8:M17)</f>
        <v>2970</v>
      </c>
      <c r="N18" s="30" t="n">
        <f aca="false">SUM(N8:N17)</f>
        <v>805.950000000001</v>
      </c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8" min="6" style="1" width="18"/>
  </cols>
  <sheetData>
    <row r="2" customFormat="false" ht="27.75" hidden="false" customHeight="true" outlineLevel="0" collapsed="false">
      <c r="B2" s="2" t="s">
        <v>171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153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  <c r="H4" s="16" t="s">
        <v>177</v>
      </c>
    </row>
    <row r="5" customFormat="false" ht="15" hidden="false" customHeight="true" outlineLevel="0" collapsed="false">
      <c r="B5" s="1" t="n">
        <f aca="false">'Chain Ladder'!B8</f>
        <v>2017</v>
      </c>
      <c r="C5" s="22" t="n">
        <v>400</v>
      </c>
      <c r="D5" s="23" t="n">
        <f aca="false">C5*Assumptions!$E$5*(1+Assumptions!$E$8)^0</f>
        <v>420</v>
      </c>
      <c r="E5" s="21" t="n">
        <f aca="false">1/'Chain Ladder'!L$6</f>
        <v>1</v>
      </c>
      <c r="F5" s="23" t="n">
        <f aca="false">'Paid Triangle'!L5</f>
        <v>230</v>
      </c>
      <c r="G5" s="23" t="n">
        <f aca="false">F5+D5*(1-E5)</f>
        <v>230</v>
      </c>
      <c r="H5" s="23" t="n">
        <f aca="false">G5-F5</f>
        <v>0</v>
      </c>
    </row>
    <row r="6" customFormat="false" ht="15" hidden="false" customHeight="true" outlineLevel="0" collapsed="false">
      <c r="B6" s="1" t="n">
        <f aca="false">'Chain Ladder'!B9</f>
        <v>2018</v>
      </c>
      <c r="C6" s="22" t="n">
        <v>425</v>
      </c>
      <c r="D6" s="23" t="n">
        <f aca="false">C6*Assumptions!$E$5*(1+Assumptions!$E$8)^1</f>
        <v>499.8</v>
      </c>
      <c r="E6" s="21" t="n">
        <f aca="false">1/'Chain Ladder'!K$6</f>
        <v>0.97</v>
      </c>
      <c r="F6" s="23" t="n">
        <f aca="false">'Paid Triangle'!K6</f>
        <v>237.65</v>
      </c>
      <c r="G6" s="23" t="n">
        <f aca="false">F6+D6*(1-E6)</f>
        <v>252.644</v>
      </c>
      <c r="H6" s="23" t="n">
        <f aca="false">G6-F6</f>
        <v>14.9940000000001</v>
      </c>
    </row>
    <row r="7" customFormat="false" ht="15" hidden="false" customHeight="true" outlineLevel="0" collapsed="false">
      <c r="B7" s="1" t="n">
        <f aca="false">'Chain Ladder'!B10</f>
        <v>2019</v>
      </c>
      <c r="C7" s="22" t="n">
        <v>450</v>
      </c>
      <c r="D7" s="23" t="n">
        <f aca="false">C7*Assumptions!$E$5*(1+Assumptions!$E$8)^2</f>
        <v>592.704</v>
      </c>
      <c r="E7" s="21" t="n">
        <f aca="false">1/'Chain Ladder'!J$6</f>
        <v>0.94</v>
      </c>
      <c r="F7" s="23" t="n">
        <f aca="false">'Paid Triangle'!J7</f>
        <v>239.7</v>
      </c>
      <c r="G7" s="23" t="n">
        <f aca="false">F7+D7*(1-E7)</f>
        <v>275.26224</v>
      </c>
      <c r="H7" s="23" t="n">
        <f aca="false">G7-F7</f>
        <v>35.5622400000001</v>
      </c>
    </row>
    <row r="8" customFormat="false" ht="15" hidden="false" customHeight="true" outlineLevel="0" collapsed="false">
      <c r="B8" s="1" t="n">
        <f aca="false">'Chain Ladder'!B11</f>
        <v>2020</v>
      </c>
      <c r="C8" s="22" t="n">
        <v>475</v>
      </c>
      <c r="D8" s="23" t="n">
        <f aca="false">C8*Assumptions!$E$5*(1+Assumptions!$E$8)^3</f>
        <v>700.70784</v>
      </c>
      <c r="E8" s="21" t="n">
        <f aca="false">1/'Chain Ladder'!I$6</f>
        <v>0.91</v>
      </c>
      <c r="F8" s="23" t="n">
        <f aca="false">'Paid Triangle'!I8</f>
        <v>245.7</v>
      </c>
      <c r="G8" s="23" t="n">
        <f aca="false">F8+D8*(1-E8)</f>
        <v>308.7637056</v>
      </c>
      <c r="H8" s="23" t="n">
        <f aca="false">G8-F8</f>
        <v>63.0637056000001</v>
      </c>
    </row>
    <row r="9" customFormat="false" ht="15" hidden="false" customHeight="true" outlineLevel="0" collapsed="false">
      <c r="B9" s="1" t="n">
        <f aca="false">'Chain Ladder'!B12</f>
        <v>2021</v>
      </c>
      <c r="C9" s="22" t="n">
        <v>500</v>
      </c>
      <c r="D9" s="23" t="n">
        <f aca="false">C9*Assumptions!$E$5*(1+Assumptions!$E$8)^4</f>
        <v>826.097664</v>
      </c>
      <c r="E9" s="21" t="n">
        <f aca="false">1/'Chain Ladder'!H$6</f>
        <v>0.87</v>
      </c>
      <c r="F9" s="23" t="n">
        <f aca="false">'Paid Triangle'!H9</f>
        <v>247.95</v>
      </c>
      <c r="G9" s="23" t="n">
        <f aca="false">F9+D9*(1-E9)</f>
        <v>355.34269632</v>
      </c>
      <c r="H9" s="23" t="n">
        <f aca="false">G9-F9</f>
        <v>107.39269632</v>
      </c>
    </row>
    <row r="10" customFormat="false" ht="15" hidden="false" customHeight="true" outlineLevel="0" collapsed="false">
      <c r="B10" s="1" t="n">
        <f aca="false">'Chain Ladder'!B13</f>
        <v>2022</v>
      </c>
      <c r="C10" s="22" t="n">
        <v>525</v>
      </c>
      <c r="D10" s="23" t="n">
        <f aca="false">C10*Assumptions!$E$5*(1+Assumptions!$E$8)^5</f>
        <v>971.490852864</v>
      </c>
      <c r="E10" s="21" t="n">
        <f aca="false">1/'Chain Ladder'!G$6</f>
        <v>0.81</v>
      </c>
      <c r="F10" s="23" t="n">
        <f aca="false">'Paid Triangle'!G10</f>
        <v>243</v>
      </c>
      <c r="G10" s="23" t="n">
        <f aca="false">F10+D10*(1-E10)</f>
        <v>427.58326204416</v>
      </c>
      <c r="H10" s="23" t="n">
        <f aca="false">G10-F10</f>
        <v>184.58326204416</v>
      </c>
    </row>
    <row r="11" customFormat="false" ht="15" hidden="false" customHeight="true" outlineLevel="0" collapsed="false">
      <c r="B11" s="1" t="n">
        <f aca="false">'Chain Ladder'!B14</f>
        <v>2023</v>
      </c>
      <c r="C11" s="22" t="n">
        <v>550</v>
      </c>
      <c r="D11" s="23" t="n">
        <f aca="false">C11*Assumptions!$E$5*(1+Assumptions!$E$8)^6</f>
        <v>1139.88260069376</v>
      </c>
      <c r="E11" s="21" t="n">
        <f aca="false">1/'Chain Ladder'!F$6</f>
        <v>0.73</v>
      </c>
      <c r="F11" s="23" t="n">
        <f aca="false">'Paid Triangle'!F11</f>
        <v>233.6</v>
      </c>
      <c r="G11" s="23" t="n">
        <f aca="false">F11+D11*(1-E11)</f>
        <v>541.368302187316</v>
      </c>
      <c r="H11" s="23" t="n">
        <f aca="false">G11-F11</f>
        <v>307.768302187316</v>
      </c>
    </row>
    <row r="12" customFormat="false" ht="15" hidden="false" customHeight="true" outlineLevel="0" collapsed="false">
      <c r="B12" s="1" t="n">
        <f aca="false">'Chain Ladder'!B15</f>
        <v>2024</v>
      </c>
      <c r="C12" s="22" t="n">
        <v>575</v>
      </c>
      <c r="D12" s="23" t="n">
        <f aca="false">C12*Assumptions!$E$5*(1+Assumptions!$E$8)^7</f>
        <v>1334.69889972142</v>
      </c>
      <c r="E12" s="21" t="n">
        <f aca="false">1/'Chain Ladder'!E$6</f>
        <v>0.63</v>
      </c>
      <c r="F12" s="23" t="n">
        <f aca="false">'Paid Triangle'!E12</f>
        <v>211.05</v>
      </c>
      <c r="G12" s="23" t="n">
        <f aca="false">F12+D12*(1-E12)</f>
        <v>704.888592896926</v>
      </c>
      <c r="H12" s="23" t="n">
        <f aca="false">G12-F12</f>
        <v>493.838592896926</v>
      </c>
    </row>
    <row r="13" customFormat="false" ht="15" hidden="false" customHeight="true" outlineLevel="0" collapsed="false">
      <c r="B13" s="1" t="n">
        <f aca="false">'Chain Ladder'!B16</f>
        <v>2025</v>
      </c>
      <c r="C13" s="22" t="n">
        <v>600</v>
      </c>
      <c r="D13" s="23" t="n">
        <f aca="false">C13*Assumptions!$E$5*(1+Assumptions!$E$8)^8</f>
        <v>1559.85680106573</v>
      </c>
      <c r="E13" s="21" t="n">
        <f aca="false">1/'Chain Ladder'!D$6</f>
        <v>0.48</v>
      </c>
      <c r="F13" s="23" t="n">
        <f aca="false">'Paid Triangle'!D13</f>
        <v>170.4</v>
      </c>
      <c r="G13" s="23" t="n">
        <f aca="false">F13+D13*(1-E13)</f>
        <v>981.52553655418</v>
      </c>
      <c r="H13" s="23" t="n">
        <f aca="false">G13-F13</f>
        <v>811.12553655418</v>
      </c>
    </row>
    <row r="14" customFormat="false" ht="15" hidden="false" customHeight="true" outlineLevel="0" collapsed="false">
      <c r="B14" s="1" t="n">
        <f aca="false">'Chain Ladder'!B17</f>
        <v>2026</v>
      </c>
      <c r="C14" s="22" t="n">
        <v>625</v>
      </c>
      <c r="D14" s="23" t="n">
        <f aca="false">C14*Assumptions!$E$5*(1+Assumptions!$E$8)^9</f>
        <v>1819.83293457669</v>
      </c>
      <c r="E14" s="21" t="n">
        <f aca="false">1/'Chain Ladder'!C$6</f>
        <v>0.28</v>
      </c>
      <c r="F14" s="23" t="n">
        <f aca="false">'Paid Triangle'!C14</f>
        <v>105</v>
      </c>
      <c r="G14" s="23" t="n">
        <f aca="false">F14+D14*(1-E14)</f>
        <v>1415.27971289521</v>
      </c>
      <c r="H14" s="23" t="n">
        <f aca="false">G14-F14</f>
        <v>1310.27971289521</v>
      </c>
    </row>
    <row r="15" customFormat="false" ht="15" hidden="false" customHeight="true" outlineLevel="0" collapsed="false">
      <c r="B15" s="29" t="s">
        <v>170</v>
      </c>
      <c r="C15" s="30" t="n">
        <f aca="false">SUM(C5:C14)</f>
        <v>5125</v>
      </c>
      <c r="D15" s="30" t="n">
        <f aca="false">SUM(D5:D14)</f>
        <v>9865.0715929216</v>
      </c>
      <c r="E15" s="30"/>
      <c r="F15" s="30" t="n">
        <f aca="false">SUM(F5:F14)</f>
        <v>2164.05</v>
      </c>
      <c r="G15" s="30" t="n">
        <f aca="false">SUM(G5:G14)</f>
        <v>5492.6580484978</v>
      </c>
      <c r="H15" s="30" t="n">
        <f aca="false">SUM(H5:H14)</f>
        <v>3328.6080484978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7" min="3" style="1" width="15"/>
  </cols>
  <sheetData>
    <row r="2" customFormat="false" ht="27.75" hidden="false" customHeight="true" outlineLevel="0" collapsed="false">
      <c r="B2" s="2" t="s">
        <v>178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179</v>
      </c>
      <c r="C4" s="16" t="s">
        <v>180</v>
      </c>
      <c r="D4" s="16" t="s">
        <v>181</v>
      </c>
      <c r="E4" s="16" t="s">
        <v>182</v>
      </c>
      <c r="F4" s="16" t="s">
        <v>183</v>
      </c>
      <c r="G4" s="16" t="s">
        <v>184</v>
      </c>
    </row>
    <row r="5" customFormat="false" ht="15" hidden="false" customHeight="true" outlineLevel="0" collapsed="false">
      <c r="B5" s="1" t="s">
        <v>172</v>
      </c>
      <c r="C5" s="23" t="n">
        <f aca="false">Assumptions!E11</f>
        <v>500</v>
      </c>
      <c r="D5" s="23" t="n">
        <f aca="false">C5*(1+Assumptions!$E$7)</f>
        <v>475</v>
      </c>
      <c r="E5" s="23" t="n">
        <f aca="false">D5*(1+Assumptions!$E$7)</f>
        <v>451.25</v>
      </c>
      <c r="F5" s="23" t="n">
        <f aca="false">E5*(1+Assumptions!$E$7)</f>
        <v>428.6875</v>
      </c>
      <c r="G5" s="23" t="n">
        <f aca="false">F5*(1+Assumptions!$E$7)</f>
        <v>407.253125</v>
      </c>
    </row>
    <row r="6" customFormat="false" ht="15" hidden="false" customHeight="true" outlineLevel="0" collapsed="false">
      <c r="B6" s="1" t="s">
        <v>185</v>
      </c>
      <c r="C6" s="23" t="n">
        <f aca="false">C5*Assumptions!$E$5*(1+Assumptions!$E$8)^0</f>
        <v>525</v>
      </c>
      <c r="D6" s="23" t="n">
        <f aca="false">D5*Assumptions!$E$5*(1+Assumptions!$E$8)^1</f>
        <v>558.6</v>
      </c>
      <c r="E6" s="23" t="n">
        <f aca="false">E5*Assumptions!$E$5*(1+Assumptions!$E$8)^2</f>
        <v>594.3504</v>
      </c>
      <c r="F6" s="23" t="n">
        <f aca="false">F5*Assumptions!$E$5*(1+Assumptions!$E$8)^3</f>
        <v>632.3888256</v>
      </c>
      <c r="G6" s="23" t="n">
        <f aca="false">G5*Assumptions!$E$5*(1+Assumptions!$E$8)^4</f>
        <v>672.8617104384</v>
      </c>
    </row>
    <row r="7" customFormat="false" ht="15" hidden="false" customHeight="true" outlineLevel="0" collapsed="false">
      <c r="B7" s="1" t="s">
        <v>186</v>
      </c>
      <c r="C7" s="23" t="n">
        <f aca="false">C5*Assumptions!$E$6</f>
        <v>160</v>
      </c>
      <c r="D7" s="23" t="n">
        <f aca="false">D5*Assumptions!$E$6</f>
        <v>152</v>
      </c>
      <c r="E7" s="23" t="n">
        <f aca="false">E5*Assumptions!$E$6</f>
        <v>144.4</v>
      </c>
      <c r="F7" s="23" t="n">
        <f aca="false">F5*Assumptions!$E$6</f>
        <v>137.18</v>
      </c>
      <c r="G7" s="23" t="n">
        <f aca="false">G5*Assumptions!$E$6</f>
        <v>130.321</v>
      </c>
    </row>
    <row r="8" customFormat="false" ht="15" hidden="false" customHeight="true" outlineLevel="0" collapsed="false">
      <c r="B8" s="29" t="s">
        <v>187</v>
      </c>
      <c r="C8" s="30" t="n">
        <f aca="false">C5-C6-C7</f>
        <v>-185</v>
      </c>
      <c r="D8" s="30" t="n">
        <f aca="false">D5-D6-D7</f>
        <v>-235.6</v>
      </c>
      <c r="E8" s="30" t="n">
        <f aca="false">E5-E6-E7</f>
        <v>-287.5004</v>
      </c>
      <c r="F8" s="30" t="n">
        <f aca="false">F5-F6-F7</f>
        <v>-340.8813256</v>
      </c>
      <c r="G8" s="30" t="n">
        <f aca="false">G5-G6-G7</f>
        <v>-395.9295854384</v>
      </c>
    </row>
    <row r="9" customFormat="false" ht="15" hidden="false" customHeight="true" outlineLevel="0" collapsed="false">
      <c r="B9" s="1" t="s">
        <v>188</v>
      </c>
      <c r="C9" s="21" t="n">
        <f aca="false">IFERROR(C6/C5,0)</f>
        <v>1.05</v>
      </c>
      <c r="D9" s="21" t="n">
        <f aca="false">IFERROR(D6/D5,0)</f>
        <v>1.176</v>
      </c>
      <c r="E9" s="21" t="n">
        <f aca="false">IFERROR(E6/E5,0)</f>
        <v>1.31712</v>
      </c>
      <c r="F9" s="21" t="n">
        <f aca="false">IFERROR(F6/F5,0)</f>
        <v>1.4751744</v>
      </c>
      <c r="G9" s="21" t="n">
        <f aca="false">IFERROR(G6/G5,0)</f>
        <v>1.652195328</v>
      </c>
    </row>
    <row r="10" customFormat="false" ht="15" hidden="false" customHeight="true" outlineLevel="0" collapsed="false">
      <c r="B10" s="1" t="s">
        <v>131</v>
      </c>
      <c r="C10" s="21" t="n">
        <f aca="false">IFERROR(C7/C5,0)</f>
        <v>0.32</v>
      </c>
      <c r="D10" s="21" t="n">
        <f aca="false">IFERROR(D7/D5,0)</f>
        <v>0.32</v>
      </c>
      <c r="E10" s="21" t="n">
        <f aca="false">IFERROR(E7/E5,0)</f>
        <v>0.32</v>
      </c>
      <c r="F10" s="21" t="n">
        <f aca="false">IFERROR(F7/F5,0)</f>
        <v>0.32</v>
      </c>
      <c r="G10" s="21" t="n">
        <f aca="false">IFERROR(G7/G5,0)</f>
        <v>0.32</v>
      </c>
    </row>
    <row r="11" customFormat="false" ht="15" hidden="false" customHeight="true" outlineLevel="0" collapsed="false">
      <c r="B11" s="1" t="s">
        <v>189</v>
      </c>
      <c r="C11" s="21" t="n">
        <f aca="false">C9+C10</f>
        <v>1.37</v>
      </c>
      <c r="D11" s="21" t="n">
        <f aca="false">D9+D10</f>
        <v>1.496</v>
      </c>
      <c r="E11" s="21" t="n">
        <f aca="false">E9+E10</f>
        <v>1.63712</v>
      </c>
      <c r="F11" s="21" t="n">
        <f aca="false">F9+F10</f>
        <v>1.7951744</v>
      </c>
      <c r="G11" s="21" t="n">
        <f aca="false">G9+G10</f>
        <v>1.972195328</v>
      </c>
    </row>
    <row r="12" customFormat="false" ht="15" hidden="false" customHeight="true" outlineLevel="0" collapsed="false">
      <c r="B12" s="1" t="s">
        <v>190</v>
      </c>
      <c r="C12" s="23" t="n">
        <f aca="false">Assumptions!$E$12*Assumptions!$E$13</f>
        <v>22.5</v>
      </c>
      <c r="D12" s="23" t="n">
        <f aca="false">Assumptions!$E$12*Assumptions!$E$13</f>
        <v>22.5</v>
      </c>
      <c r="E12" s="23" t="n">
        <f aca="false">Assumptions!$E$12*Assumptions!$E$13</f>
        <v>22.5</v>
      </c>
      <c r="F12" s="23" t="n">
        <f aca="false">Assumptions!$E$12*Assumptions!$E$13</f>
        <v>22.5</v>
      </c>
      <c r="G12" s="23" t="n">
        <f aca="false">Assumptions!$E$12*Assumptions!$E$13</f>
        <v>22.5</v>
      </c>
    </row>
    <row r="13" customFormat="false" ht="15" hidden="false" customHeight="true" outlineLevel="0" collapsed="false">
      <c r="B13" s="29" t="s">
        <v>191</v>
      </c>
      <c r="C13" s="30" t="n">
        <f aca="false">C8+C12</f>
        <v>-162.5</v>
      </c>
      <c r="D13" s="30" t="n">
        <f aca="false">D8+D12</f>
        <v>-213.1</v>
      </c>
      <c r="E13" s="30" t="n">
        <f aca="false">E8+E12</f>
        <v>-265.0004</v>
      </c>
      <c r="F13" s="30" t="n">
        <f aca="false">F8+F12</f>
        <v>-318.3813256</v>
      </c>
      <c r="G13" s="30" t="n">
        <f aca="false">G8+G12</f>
        <v>-373.4295854384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7" min="3" style="1" width="15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165</v>
      </c>
      <c r="C4" s="16" t="s">
        <v>180</v>
      </c>
      <c r="D4" s="16" t="s">
        <v>181</v>
      </c>
      <c r="E4" s="16" t="s">
        <v>182</v>
      </c>
      <c r="F4" s="16" t="s">
        <v>183</v>
      </c>
      <c r="G4" s="16" t="s">
        <v>184</v>
      </c>
    </row>
    <row r="5" customFormat="false" ht="15" hidden="false" customHeight="true" outlineLevel="0" collapsed="false">
      <c r="B5" s="1" t="s">
        <v>191</v>
      </c>
      <c r="C5" s="23" t="n">
        <f aca="false">Underwriting!C13</f>
        <v>-162.5</v>
      </c>
      <c r="D5" s="23" t="n">
        <f aca="false">Underwriting!D13</f>
        <v>-213.1</v>
      </c>
      <c r="E5" s="23" t="n">
        <f aca="false">Underwriting!E13</f>
        <v>-265.0004</v>
      </c>
      <c r="F5" s="23" t="n">
        <f aca="false">Underwriting!F13</f>
        <v>-318.3813256</v>
      </c>
      <c r="G5" s="23" t="n">
        <f aca="false">Underwriting!G13</f>
        <v>-373.4295854384</v>
      </c>
    </row>
    <row r="6" customFormat="false" ht="15" hidden="false" customHeight="true" outlineLevel="0" collapsed="false">
      <c r="B6" s="1" t="s">
        <v>193</v>
      </c>
      <c r="C6" s="23" t="n">
        <f aca="false">MAX(0,C5*0.25)</f>
        <v>0</v>
      </c>
      <c r="D6" s="23" t="n">
        <f aca="false">MAX(0,D5*0.25)</f>
        <v>0</v>
      </c>
      <c r="E6" s="23" t="n">
        <f aca="false">MAX(0,E5*0.25)</f>
        <v>0</v>
      </c>
      <c r="F6" s="23" t="n">
        <f aca="false">MAX(0,F5*0.25)</f>
        <v>0</v>
      </c>
      <c r="G6" s="23" t="n">
        <f aca="false">MAX(0,G5*0.25)</f>
        <v>0</v>
      </c>
    </row>
    <row r="7" customFormat="false" ht="15" hidden="false" customHeight="true" outlineLevel="0" collapsed="false">
      <c r="B7" s="1" t="s">
        <v>194</v>
      </c>
      <c r="C7" s="23" t="n">
        <f aca="false">C5-C6</f>
        <v>-162.5</v>
      </c>
      <c r="D7" s="23" t="n">
        <f aca="false">D5-D6</f>
        <v>-213.1</v>
      </c>
      <c r="E7" s="23" t="n">
        <f aca="false">E5-E6</f>
        <v>-265.0004</v>
      </c>
      <c r="F7" s="23" t="n">
        <f aca="false">F5-F6</f>
        <v>-318.3813256</v>
      </c>
      <c r="G7" s="23" t="n">
        <f aca="false">G5-G6</f>
        <v>-373.4295854384</v>
      </c>
    </row>
    <row r="8" customFormat="false" ht="15" hidden="false" customHeight="true" outlineLevel="0" collapsed="false">
      <c r="B8" s="1" t="s">
        <v>195</v>
      </c>
      <c r="C8" s="23" t="n">
        <f aca="false">'Bornhuetter-Ferguson'!$H$15*Assumptions!$E$10*Assumptions!$E$19</f>
        <v>87.8752524803418</v>
      </c>
      <c r="D8" s="23" t="n">
        <f aca="false">'Bornhuetter-Ferguson'!$H$15*Assumptions!$E$10*Assumptions!$E$19</f>
        <v>87.8752524803418</v>
      </c>
      <c r="E8" s="23" t="n">
        <f aca="false">'Bornhuetter-Ferguson'!$H$15*Assumptions!$E$10*Assumptions!$E$19</f>
        <v>87.8752524803418</v>
      </c>
      <c r="F8" s="23" t="n">
        <f aca="false">'Bornhuetter-Ferguson'!$H$15*Assumptions!$E$10*Assumptions!$E$19</f>
        <v>87.8752524803418</v>
      </c>
      <c r="G8" s="23" t="n">
        <f aca="false">'Bornhuetter-Ferguson'!$H$15*Assumptions!$E$10*Assumptions!$E$19</f>
        <v>87.8752524803418</v>
      </c>
    </row>
    <row r="9" customFormat="false" ht="15" hidden="false" customHeight="true" outlineLevel="0" collapsed="false">
      <c r="B9" s="1" t="s">
        <v>196</v>
      </c>
      <c r="C9" s="23" t="n">
        <f aca="false">C7-C8</f>
        <v>-250.375252480342</v>
      </c>
      <c r="D9" s="23" t="n">
        <f aca="false">D7-D8</f>
        <v>-300.975252480342</v>
      </c>
      <c r="E9" s="23" t="n">
        <f aca="false">E7-E8</f>
        <v>-352.875652480342</v>
      </c>
      <c r="F9" s="23" t="n">
        <f aca="false">F7-F8</f>
        <v>-406.256578080342</v>
      </c>
      <c r="G9" s="23" t="n">
        <f aca="false">G7-G8</f>
        <v>-461.304837918742</v>
      </c>
    </row>
    <row r="10" customFormat="false" ht="15" hidden="false" customHeight="true" outlineLevel="0" collapsed="false">
      <c r="B10" s="1" t="s">
        <v>197</v>
      </c>
      <c r="C10" s="31" t="n">
        <f aca="false">1/(1+Assumptions!$E$9)^1</f>
        <v>0.966183574879227</v>
      </c>
      <c r="D10" s="31" t="n">
        <f aca="false">1/(1+Assumptions!$E$9)^2</f>
        <v>0.933510700366403</v>
      </c>
      <c r="E10" s="31" t="n">
        <f aca="false">1/(1+Assumptions!$E$9)^3</f>
        <v>0.901942705668022</v>
      </c>
      <c r="F10" s="31" t="n">
        <f aca="false">1/(1+Assumptions!$E$9)^4</f>
        <v>0.871442227698572</v>
      </c>
      <c r="G10" s="31" t="n">
        <f aca="false">1/(1+Assumptions!$E$9)^5</f>
        <v>0.841973166858524</v>
      </c>
    </row>
    <row r="11" customFormat="false" ht="15" hidden="false" customHeight="true" outlineLevel="0" collapsed="false">
      <c r="B11" s="1" t="s">
        <v>198</v>
      </c>
      <c r="C11" s="23" t="n">
        <f aca="false">C9*C10</f>
        <v>-241.908456502746</v>
      </c>
      <c r="D11" s="23" t="n">
        <f aca="false">D9*D10</f>
        <v>-280.963618735879</v>
      </c>
      <c r="E11" s="23" t="n">
        <f aca="false">E9*E10</f>
        <v>-318.273620762488</v>
      </c>
      <c r="F11" s="23" t="n">
        <f aca="false">F9*F10</f>
        <v>-354.029137419532</v>
      </c>
      <c r="G11" s="23" t="n">
        <f aca="false">G9*G10</f>
        <v>-388.406295269602</v>
      </c>
    </row>
    <row r="13" customFormat="false" ht="15" hidden="false" customHeight="true" outlineLevel="0" collapsed="false">
      <c r="B13" s="1" t="s">
        <v>199</v>
      </c>
      <c r="C13" s="23" t="n">
        <f aca="false">Assumptions!E14-'Bornhuetter-Ferguson'!H15*(1+Assumptions!E10)</f>
        <v>-3710.90181916731</v>
      </c>
    </row>
    <row r="14" customFormat="false" ht="15" hidden="false" customHeight="true" outlineLevel="0" collapsed="false">
      <c r="B14" s="1" t="s">
        <v>200</v>
      </c>
      <c r="C14" s="23" t="n">
        <f aca="false">SUM(C11:G11)</f>
        <v>-1583.58112869025</v>
      </c>
    </row>
    <row r="15" customFormat="false" ht="15" hidden="false" customHeight="true" outlineLevel="0" collapsed="false">
      <c r="B15" s="1" t="s">
        <v>201</v>
      </c>
      <c r="C15" s="23" t="n">
        <f aca="false">C13+C14</f>
        <v>-5294.48294785756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2" customFormat="false" ht="27.75" hidden="false" customHeight="true" outlineLevel="0" collapsed="false">
      <c r="B2" s="2" t="s">
        <v>202</v>
      </c>
      <c r="C2" s="2"/>
      <c r="D2" s="2"/>
      <c r="E2" s="2"/>
    </row>
    <row r="4" customFormat="false" ht="15" hidden="false" customHeight="true" outlineLevel="0" collapsed="false">
      <c r="B4" s="16" t="s">
        <v>203</v>
      </c>
      <c r="C4" s="16" t="s">
        <v>204</v>
      </c>
      <c r="D4" s="16" t="s">
        <v>205</v>
      </c>
      <c r="E4" s="16" t="s">
        <v>40</v>
      </c>
    </row>
    <row r="5" customFormat="false" ht="15" hidden="false" customHeight="true" outlineLevel="0" collapsed="false">
      <c r="B5" s="1" t="s">
        <v>206</v>
      </c>
      <c r="C5" s="23" t="n">
        <f aca="false">Underwriting!C5</f>
        <v>500</v>
      </c>
      <c r="D5" s="19" t="n">
        <f aca="false">Assumptions!E15</f>
        <v>0.24</v>
      </c>
      <c r="E5" s="23" t="n">
        <f aca="false">C5*D5</f>
        <v>120</v>
      </c>
    </row>
    <row r="6" customFormat="false" ht="15" hidden="false" customHeight="true" outlineLevel="0" collapsed="false">
      <c r="B6" s="1" t="s">
        <v>207</v>
      </c>
      <c r="C6" s="23" t="n">
        <f aca="false">'Bornhuetter-Ferguson'!H15</f>
        <v>3328.6080484978</v>
      </c>
      <c r="D6" s="19" t="n">
        <f aca="false">Assumptions!E16</f>
        <v>0.18</v>
      </c>
      <c r="E6" s="23" t="n">
        <f aca="false">C6*D6</f>
        <v>599.149448729604</v>
      </c>
    </row>
    <row r="7" customFormat="false" ht="15" hidden="false" customHeight="true" outlineLevel="0" collapsed="false">
      <c r="B7" s="1" t="s">
        <v>208</v>
      </c>
      <c r="C7" s="23" t="n">
        <f aca="false">Assumptions!E12</f>
        <v>900</v>
      </c>
      <c r="D7" s="19" t="n">
        <f aca="false">Assumptions!E17</f>
        <v>0.2</v>
      </c>
      <c r="E7" s="23" t="n">
        <f aca="false">C7*D7</f>
        <v>180</v>
      </c>
    </row>
    <row r="9" customFormat="false" ht="15" hidden="false" customHeight="true" outlineLevel="0" collapsed="false">
      <c r="B9" s="1" t="s">
        <v>209</v>
      </c>
      <c r="E9" s="23" t="n">
        <f aca="false">SQRT(SUMSQ(E5:E7)+2*0.25*(E5*E6+E5*E7+E6*E7))</f>
        <v>711.654747207119</v>
      </c>
    </row>
    <row r="10" customFormat="false" ht="15" hidden="false" customHeight="true" outlineLevel="0" collapsed="false">
      <c r="B10" s="1" t="s">
        <v>210</v>
      </c>
      <c r="E10" s="23" t="n">
        <f aca="false">Assumptions!E14</f>
        <v>350</v>
      </c>
    </row>
    <row r="11" customFormat="false" ht="15" hidden="false" customHeight="true" outlineLevel="0" collapsed="false">
      <c r="B11" s="1" t="s">
        <v>211</v>
      </c>
      <c r="E11" s="25" t="n">
        <f aca="false">IFERROR(E10/E9,0)</f>
        <v>0.491811515869979</v>
      </c>
    </row>
    <row r="12" customFormat="false" ht="15" hidden="false" customHeight="true" outlineLevel="0" collapsed="false">
      <c r="B12" s="1" t="s">
        <v>212</v>
      </c>
      <c r="E12" s="25" t="n">
        <f aca="false">Assumptions!E18</f>
        <v>1.5</v>
      </c>
    </row>
    <row r="13" customFormat="false" ht="15" hidden="false" customHeight="true" outlineLevel="0" collapsed="false">
      <c r="B13" s="1" t="s">
        <v>213</v>
      </c>
      <c r="E13" s="1" t="str">
        <f aca="false">IF(E11&gt;=E12,"PASS","BREACH")</f>
        <v>BREACH</v>
      </c>
    </row>
  </sheetData>
  <mergeCells count="1">
    <mergeCell ref="B2:E2"/>
  </mergeCells>
  <conditionalFormatting sqref="E13">
    <cfRule type="expression" priority="2" aboveAverage="0" equalAverage="0" bottom="0" percent="0" rank="0" text="" dxfId="0">
      <formula>E13="PASS"</formula>
    </cfRule>
    <cfRule type="expression" priority="3" aboveAverage="0" equalAverage="0" bottom="0" percent="0" rank="0" text="" dxfId="1">
      <formula>E13="FAIL"</formula>
    </cfRule>
    <cfRule type="expression" priority="4" aboveAverage="0" equalAverage="0" bottom="0" percent="0" rank="0" text="" dxfId="2">
      <formula>E13="REVIEW"</formula>
    </cfRule>
    <cfRule type="expression" priority="5" aboveAverage="0" equalAverage="0" bottom="0" percent="0" rank="0" text="" dxfId="1">
      <formula>E13="BREACH"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215</v>
      </c>
      <c r="C4" s="32" t="n">
        <v>-0.2</v>
      </c>
      <c r="D4" s="32" t="n">
        <v>-0.1</v>
      </c>
      <c r="E4" s="32" t="n">
        <v>0</v>
      </c>
      <c r="F4" s="32" t="n">
        <v>0.1</v>
      </c>
      <c r="G4" s="32" t="n">
        <v>0.2</v>
      </c>
    </row>
    <row r="5" customFormat="false" ht="15" hidden="false" customHeight="true" outlineLevel="0" collapsed="false">
      <c r="B5" s="19" t="n">
        <v>0</v>
      </c>
      <c r="C5" s="25" t="n">
        <f aca="false">(Assumptions!$E$14*(1+C$4)-'Bornhuetter-Ferguson'!$H$15*(1+$B5))/Capital!$E$9</f>
        <v>-4.28383013035749</v>
      </c>
      <c r="D5" s="25" t="n">
        <f aca="false">(Assumptions!$E$14*(1+D$4)-'Bornhuetter-Ferguson'!$H$15*(1+$B5))/Capital!$E$9</f>
        <v>-4.23464897877049</v>
      </c>
      <c r="E5" s="25" t="n">
        <f aca="false">(Assumptions!$E$14*(1+E$4)-'Bornhuetter-Ferguson'!$H$15*(1+$B5))/Capital!$E$9</f>
        <v>-4.18546782718349</v>
      </c>
      <c r="F5" s="25" t="n">
        <f aca="false">(Assumptions!$E$14*(1+F$4)-'Bornhuetter-Ferguson'!$H$15*(1+$B5))/Capital!$E$9</f>
        <v>-4.13628667559649</v>
      </c>
      <c r="G5" s="25" t="n">
        <f aca="false">(Assumptions!$E$14*(1+G$4)-'Bornhuetter-Ferguson'!$H$15*(1+$B5))/Capital!$E$9</f>
        <v>-4.0871055240095</v>
      </c>
    </row>
    <row r="6" customFormat="false" ht="15" hidden="false" customHeight="true" outlineLevel="0" collapsed="false">
      <c r="B6" s="19" t="n">
        <v>0.05</v>
      </c>
      <c r="C6" s="25" t="n">
        <f aca="false">(Assumptions!$E$14*(1+C$4)-'Bornhuetter-Ferguson'!$H$15*(1+$B6))/Capital!$E$9</f>
        <v>-4.51769409751016</v>
      </c>
      <c r="D6" s="25" t="n">
        <f aca="false">(Assumptions!$E$14*(1+D$4)-'Bornhuetter-Ferguson'!$H$15*(1+$B6))/Capital!$E$9</f>
        <v>-4.46851294592316</v>
      </c>
      <c r="E6" s="25" t="n">
        <f aca="false">(Assumptions!$E$14*(1+E$4)-'Bornhuetter-Ferguson'!$H$15*(1+$B6))/Capital!$E$9</f>
        <v>-4.41933179433617</v>
      </c>
      <c r="F6" s="25" t="n">
        <f aca="false">(Assumptions!$E$14*(1+F$4)-'Bornhuetter-Ferguson'!$H$15*(1+$B6))/Capital!$E$9</f>
        <v>-4.37015064274917</v>
      </c>
      <c r="G6" s="25" t="n">
        <f aca="false">(Assumptions!$E$14*(1+G$4)-'Bornhuetter-Ferguson'!$H$15*(1+$B6))/Capital!$E$9</f>
        <v>-4.32096949116217</v>
      </c>
    </row>
    <row r="7" customFormat="false" ht="15" hidden="false" customHeight="true" outlineLevel="0" collapsed="false">
      <c r="B7" s="19" t="n">
        <v>0.1</v>
      </c>
      <c r="C7" s="25" t="n">
        <f aca="false">(Assumptions!$E$14*(1+C$4)-'Bornhuetter-Ferguson'!$H$15*(1+$B7))/Capital!$E$9</f>
        <v>-4.75155806466284</v>
      </c>
      <c r="D7" s="25" t="n">
        <f aca="false">(Assumptions!$E$14*(1+D$4)-'Bornhuetter-Ferguson'!$H$15*(1+$B7))/Capital!$E$9</f>
        <v>-4.70237691307584</v>
      </c>
      <c r="E7" s="25" t="n">
        <f aca="false">(Assumptions!$E$14*(1+E$4)-'Bornhuetter-Ferguson'!$H$15*(1+$B7))/Capital!$E$9</f>
        <v>-4.65319576148884</v>
      </c>
      <c r="F7" s="25" t="n">
        <f aca="false">(Assumptions!$E$14*(1+F$4)-'Bornhuetter-Ferguson'!$H$15*(1+$B7))/Capital!$E$9</f>
        <v>-4.60401460990184</v>
      </c>
      <c r="G7" s="25" t="n">
        <f aca="false">(Assumptions!$E$14*(1+G$4)-'Bornhuetter-Ferguson'!$H$15*(1+$B7))/Capital!$E$9</f>
        <v>-4.55483345831484</v>
      </c>
    </row>
    <row r="8" customFormat="false" ht="15" hidden="false" customHeight="true" outlineLevel="0" collapsed="false">
      <c r="B8" s="19" t="n">
        <v>0.15</v>
      </c>
      <c r="C8" s="25" t="n">
        <f aca="false">(Assumptions!$E$14*(1+C$4)-'Bornhuetter-Ferguson'!$H$15*(1+$B8))/Capital!$E$9</f>
        <v>-4.98542203181551</v>
      </c>
      <c r="D8" s="25" t="n">
        <f aca="false">(Assumptions!$E$14*(1+D$4)-'Bornhuetter-Ferguson'!$H$15*(1+$B8))/Capital!$E$9</f>
        <v>-4.93624088022851</v>
      </c>
      <c r="E8" s="25" t="n">
        <f aca="false">(Assumptions!$E$14*(1+E$4)-'Bornhuetter-Ferguson'!$H$15*(1+$B8))/Capital!$E$9</f>
        <v>-4.88705972864151</v>
      </c>
      <c r="F8" s="25" t="n">
        <f aca="false">(Assumptions!$E$14*(1+F$4)-'Bornhuetter-Ferguson'!$H$15*(1+$B8))/Capital!$E$9</f>
        <v>-4.83787857705451</v>
      </c>
      <c r="G8" s="25" t="n">
        <f aca="false">(Assumptions!$E$14*(1+G$4)-'Bornhuetter-Ferguson'!$H$15*(1+$B8))/Capital!$E$9</f>
        <v>-4.78869742546752</v>
      </c>
    </row>
    <row r="9" customFormat="false" ht="15" hidden="false" customHeight="true" outlineLevel="0" collapsed="false">
      <c r="B9" s="19" t="n">
        <v>0.2</v>
      </c>
      <c r="C9" s="25" t="n">
        <f aca="false">(Assumptions!$E$14*(1+C$4)-'Bornhuetter-Ferguson'!$H$15*(1+$B9))/Capital!$E$9</f>
        <v>-5.21928599896818</v>
      </c>
      <c r="D9" s="25" t="n">
        <f aca="false">(Assumptions!$E$14*(1+D$4)-'Bornhuetter-Ferguson'!$H$15*(1+$B9))/Capital!$E$9</f>
        <v>-5.17010484738118</v>
      </c>
      <c r="E9" s="25" t="n">
        <f aca="false">(Assumptions!$E$14*(1+E$4)-'Bornhuetter-Ferguson'!$H$15*(1+$B9))/Capital!$E$9</f>
        <v>-5.12092369579419</v>
      </c>
      <c r="F9" s="25" t="n">
        <f aca="false">(Assumptions!$E$14*(1+F$4)-'Bornhuetter-Ferguson'!$H$15*(1+$B9))/Capital!$E$9</f>
        <v>-5.07174254420719</v>
      </c>
      <c r="G9" s="25" t="n">
        <f aca="false">(Assumptions!$E$14*(1+G$4)-'Bornhuetter-Ferguson'!$H$15*(1+$B9))/Capital!$E$9</f>
        <v>-5.02256139262019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216</v>
      </c>
      <c r="C2" s="2"/>
    </row>
    <row r="4" customFormat="false" ht="15" hidden="false" customHeight="true" outlineLevel="0" collapsed="false">
      <c r="B4" s="16" t="s">
        <v>217</v>
      </c>
      <c r="C4" s="16" t="s">
        <v>43</v>
      </c>
    </row>
    <row r="5" customFormat="false" ht="15" hidden="false" customHeight="true" outlineLevel="0" collapsed="false">
      <c r="B5" s="1" t="s">
        <v>218</v>
      </c>
      <c r="C5" s="1" t="str">
        <f aca="false">IF(MIN('Paid Triangle'!D5-'Paid Triangle'!C5,'Paid Triangle'!E5-'Paid Triangle'!D5,'Paid Triangle'!F5-'Paid Triangle'!E5,'Paid Triangle'!G5-'Paid Triangle'!F5,'Paid Triangle'!H5-'Paid Triangle'!G5,'Paid Triangle'!I5-'Paid Triangle'!H5,'Paid Triangle'!J5-'Paid Triangle'!I5,'Paid Triangle'!K5-'Paid Triangle'!J5,'Paid Triangle'!L5-'Paid Triangle'!K5,'Paid Triangle'!D6-'Paid Triangle'!C6,'Paid Triangle'!E6-'Paid Triangle'!D6,'Paid Triangle'!F6-'Paid Triangle'!E6,'Paid Triangle'!G6-'Paid Triangle'!F6,'Paid Triangle'!H6-'Paid Triangle'!G6,'Paid Triangle'!I6-'Paid Triangle'!H6,'Paid Triangle'!J6-'Paid Triangle'!I6,'Paid Triangle'!K6-'Paid Triangle'!J6,'Paid Triangle'!L6-'Paid Triangle'!K6,'Paid Triangle'!D7-'Paid Triangle'!C7,'Paid Triangle'!E7-'Paid Triangle'!D7,'Paid Triangle'!F7-'Paid Triangle'!E7,'Paid Triangle'!G7-'Paid Triangle'!F7,'Paid Triangle'!H7-'Paid Triangle'!G7,'Paid Triangle'!I7-'Paid Triangle'!H7,'Paid Triangle'!J7-'Paid Triangle'!I7,'Paid Triangle'!K7-'Paid Triangle'!J7,'Paid Triangle'!L7-'Paid Triangle'!K7,'Paid Triangle'!D8-'Paid Triangle'!C8,'Paid Triangle'!E8-'Paid Triangle'!D8,'Paid Triangle'!F8-'Paid Triangle'!E8,'Paid Triangle'!G8-'Paid Triangle'!F8,'Paid Triangle'!H8-'Paid Triangle'!G8,'Paid Triangle'!I8-'Paid Triangle'!H8,'Paid Triangle'!J8-'Paid Triangle'!I8,'Paid Triangle'!K8-'Paid Triangle'!J8,'Paid Triangle'!L8-'Paid Triangle'!K8,'Paid Triangle'!D9-'Paid Triangle'!C9,'Paid Triangle'!E9-'Paid Triangle'!D9,'Paid Triangle'!F9-'Paid Triangle'!E9,'Paid Triangle'!G9-'Paid Triangle'!F9,'Paid Triangle'!H9-'Paid Triangle'!G9,'Paid Triangle'!I9-'Paid Triangle'!H9,'Paid Triangle'!J9-'Paid Triangle'!I9,'Paid Triangle'!K9-'Paid Triangle'!J9,'Paid Triangle'!L9-'Paid Triangle'!K9,'Paid Triangle'!D10-'Paid Triangle'!C10,'Paid Triangle'!E10-'Paid Triangle'!D10,'Paid Triangle'!F10-'Paid Triangle'!E10,'Paid Triangle'!G10-'Paid Triangle'!F10,'Paid Triangle'!H10-'Paid Triangle'!G10,'Paid Triangle'!I10-'Paid Triangle'!H10,'Paid Triangle'!J10-'Paid Triangle'!I10,'Paid Triangle'!K10-'Paid Triangle'!J10,'Paid Triangle'!L10-'Paid Triangle'!K10,'Paid Triangle'!D11-'Paid Triangle'!C11,'Paid Triangle'!E11-'Paid Triangle'!D11,'Paid Triangle'!F11-'Paid Triangle'!E11,'Paid Triangle'!G11-'Paid Triangle'!F11,'Paid Triangle'!H11-'Paid Triangle'!G11,'Paid Triangle'!I11-'Paid Triangle'!H11,'Paid Triangle'!J11-'Paid Triangle'!I11,'Paid Triangle'!K11-'Paid Triangle'!J11,'Paid Triangle'!L11-'Paid Triangle'!K11,'Paid Triangle'!D12-'Paid Triangle'!C12,'Paid Triangle'!E12-'Paid Triangle'!D12,'Paid Triangle'!F12-'Paid Triangle'!E12,'Paid Triangle'!G12-'Paid Triangle'!F12,'Paid Triangle'!H12-'Paid Triangle'!G12,'Paid Triangle'!I12-'Paid Triangle'!H12,'Paid Triangle'!J12-'Paid Triangle'!I12,'Paid Triangle'!K12-'Paid Triangle'!J12,'Paid Triangle'!L12-'Paid Triangle'!K12,'Paid Triangle'!D13-'Paid Triangle'!C13,'Paid Triangle'!E13-'Paid Triangle'!D13,'Paid Triangle'!F13-'Paid Triangle'!E13,'Paid Triangle'!G13-'Paid Triangle'!F13,'Paid Triangle'!H13-'Paid Triangle'!G13,'Paid Triangle'!I13-'Paid Triangle'!H13,'Paid Triangle'!J13-'Paid Triangle'!I13,'Paid Triangle'!K13-'Paid Triangle'!J13,'Paid Triangle'!L13-'Paid Triangle'!K13,'Paid Triangle'!D14-'Paid Triangle'!C14,'Paid Triangle'!E14-'Paid Triangle'!D14,'Paid Triangle'!F14-'Paid Triangle'!E14,'Paid Triangle'!G14-'Paid Triangle'!F14,'Paid Triangle'!H14-'Paid Triangle'!G14,'Paid Triangle'!I14-'Paid Triangle'!H14,'Paid Triangle'!J14-'Paid Triangle'!I14,'Paid Triangle'!K14-'Paid Triangle'!J14,'Paid Triangle'!L14-'Paid Triangle'!K14)&gt;=0,"PASS","FAIL")</f>
        <v>FAIL</v>
      </c>
    </row>
    <row r="6" customFormat="false" ht="15" hidden="false" customHeight="true" outlineLevel="0" collapsed="false">
      <c r="B6" s="1" t="s">
        <v>219</v>
      </c>
      <c r="C6" s="1" t="str">
        <f aca="false">IF(MIN('Chain Ladder'!C5:L5)&gt;=1,"PASS","FAIL")</f>
        <v>PASS</v>
      </c>
    </row>
    <row r="7" customFormat="false" ht="15" hidden="false" customHeight="true" outlineLevel="0" collapsed="false">
      <c r="B7" s="1" t="s">
        <v>220</v>
      </c>
      <c r="C7" s="1" t="str">
        <f aca="false">IF(MIN('Chain Ladder'!N8:N17)&gt;=0,"PASS","FAIL")</f>
        <v>PASS</v>
      </c>
    </row>
    <row r="8" customFormat="false" ht="15" hidden="false" customHeight="true" outlineLevel="0" collapsed="false">
      <c r="B8" s="1" t="s">
        <v>221</v>
      </c>
      <c r="C8" s="1" t="str">
        <f aca="false">IF(MIN('Bornhuetter-Ferguson'!H5:H14)&gt;=0,"PASS","FAIL")</f>
        <v>PASS</v>
      </c>
    </row>
    <row r="9" customFormat="false" ht="15" hidden="false" customHeight="true" outlineLevel="0" collapsed="false">
      <c r="B9" s="1" t="s">
        <v>222</v>
      </c>
      <c r="C9" s="1" t="str">
        <f aca="false">IF(AND(MIN(Underwriting!C11:G11)&gt;=0,MAX(Underwriting!C11:G11)&lt;3),"PASS","FAIL")</f>
        <v>PASS</v>
      </c>
    </row>
    <row r="10" customFormat="false" ht="15" hidden="false" customHeight="true" outlineLevel="0" collapsed="false">
      <c r="B10" s="1" t="s">
        <v>223</v>
      </c>
      <c r="C10" s="1" t="str">
        <f aca="false">IF(Capital!E9&gt;0,"PASS","FAIL")</f>
        <v>PASS</v>
      </c>
    </row>
    <row r="11" customFormat="false" ht="15" hidden="false" customHeight="true" outlineLevel="0" collapsed="false">
      <c r="B11" s="1" t="s">
        <v>211</v>
      </c>
      <c r="C11" s="1" t="str">
        <f aca="false">IF(Capital!E13="PASS","PASS","REVIEW")</f>
        <v>REVIEW</v>
      </c>
    </row>
    <row r="12" customFormat="false" ht="15" hidden="false" customHeight="true" outlineLevel="0" collapsed="false">
      <c r="B12" s="1" t="s">
        <v>224</v>
      </c>
      <c r="C12" s="1" t="str">
        <f aca="false">IF(ABS('Embedded Value'!C15)&lt;1000000,"PASS","FAIL")</f>
        <v>PASS</v>
      </c>
    </row>
    <row r="13" customFormat="false" ht="15" hidden="false" customHeight="true" outlineLevel="0" collapsed="false">
      <c r="B13" s="1" t="s">
        <v>225</v>
      </c>
      <c r="C13" s="1" t="str">
        <f aca="false">IF(COUNTIF(C5:C12,"FAIL")=0,"PASS","FAIL")</f>
        <v>FAIL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226</v>
      </c>
      <c r="C2" s="2"/>
      <c r="D2" s="2"/>
      <c r="E2" s="2"/>
    </row>
    <row r="4" customFormat="false" ht="15" hidden="false" customHeight="true" outlineLevel="0" collapsed="false">
      <c r="B4" s="16" t="s">
        <v>227</v>
      </c>
      <c r="C4" s="16" t="s">
        <v>228</v>
      </c>
      <c r="D4" s="16" t="s">
        <v>109</v>
      </c>
      <c r="E4" s="16" t="s">
        <v>229</v>
      </c>
    </row>
    <row r="5" customFormat="false" ht="15" hidden="false" customHeight="true" outlineLevel="0" collapsed="false">
      <c r="B5" s="33" t="s">
        <v>230</v>
      </c>
      <c r="C5" s="33" t="s">
        <v>231</v>
      </c>
      <c r="D5" s="33" t="s">
        <v>232</v>
      </c>
      <c r="E5" s="33" t="s">
        <v>233</v>
      </c>
    </row>
    <row r="6" customFormat="false" ht="15" hidden="false" customHeight="true" outlineLevel="0" collapsed="false">
      <c r="B6" s="33" t="s">
        <v>234</v>
      </c>
      <c r="C6" s="33" t="s">
        <v>235</v>
      </c>
      <c r="D6" s="33" t="s">
        <v>236</v>
      </c>
      <c r="E6" s="33" t="s">
        <v>237</v>
      </c>
    </row>
    <row r="7" customFormat="false" ht="15" hidden="false" customHeight="true" outlineLevel="0" collapsed="false">
      <c r="B7" s="33" t="s">
        <v>238</v>
      </c>
      <c r="C7" s="33" t="s">
        <v>239</v>
      </c>
      <c r="D7" s="33" t="s">
        <v>4</v>
      </c>
      <c r="E7" s="33" t="s">
        <v>240</v>
      </c>
    </row>
    <row r="8" customFormat="false" ht="15" hidden="false" customHeight="true" outlineLevel="0" collapsed="false">
      <c r="B8" s="33" t="s">
        <v>241</v>
      </c>
      <c r="C8" s="33" t="s">
        <v>242</v>
      </c>
      <c r="D8" s="33" t="s">
        <v>243</v>
      </c>
      <c r="E8" s="33" t="s">
        <v>244</v>
      </c>
    </row>
    <row r="9" customFormat="false" ht="15" hidden="false" customHeight="true" outlineLevel="0" collapsed="false">
      <c r="B9" s="33" t="s">
        <v>245</v>
      </c>
      <c r="C9" s="33" t="s">
        <v>246</v>
      </c>
      <c r="D9" s="33" t="s">
        <v>4</v>
      </c>
      <c r="E9" s="33" t="s">
        <v>247</v>
      </c>
    </row>
    <row r="10" customFormat="false" ht="15" hidden="false" customHeight="false" outlineLevel="0" collapsed="false">
      <c r="B10" s="34" t="s">
        <v>248</v>
      </c>
      <c r="C10" s="34" t="s">
        <v>249</v>
      </c>
      <c r="D10" s="34" t="s">
        <v>6</v>
      </c>
      <c r="E10" s="34" t="s">
        <v>250</v>
      </c>
    </row>
    <row r="11" customFormat="false" ht="15" hidden="false" customHeight="false" outlineLevel="0" collapsed="false">
      <c r="B11" s="34" t="s">
        <v>251</v>
      </c>
      <c r="C11" s="34" t="s">
        <v>252</v>
      </c>
      <c r="D11" s="34" t="s">
        <v>6</v>
      </c>
      <c r="E11" s="34" t="s">
        <v>253</v>
      </c>
    </row>
    <row r="12" customFormat="false" ht="15" hidden="false" customHeight="false" outlineLevel="0" collapsed="false">
      <c r="B12" s="34" t="s">
        <v>254</v>
      </c>
      <c r="C12" s="34" t="s">
        <v>255</v>
      </c>
      <c r="D12" s="34" t="s">
        <v>6</v>
      </c>
      <c r="E12" s="34" t="s">
        <v>256</v>
      </c>
    </row>
    <row r="13" customFormat="false" ht="15" hidden="false" customHeight="false" outlineLevel="0" collapsed="false">
      <c r="B13" s="34" t="s">
        <v>257</v>
      </c>
      <c r="C13" s="34" t="s">
        <v>252</v>
      </c>
      <c r="D13" s="34" t="s">
        <v>6</v>
      </c>
      <c r="E13" s="34" t="s">
        <v>258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259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97</v>
      </c>
      <c r="C4" s="16" t="s">
        <v>260</v>
      </c>
      <c r="D4" s="16" t="s">
        <v>261</v>
      </c>
      <c r="E4" s="16" t="s">
        <v>262</v>
      </c>
      <c r="F4" s="16" t="s">
        <v>263</v>
      </c>
      <c r="G4" s="16" t="s">
        <v>264</v>
      </c>
    </row>
    <row r="5" customFormat="false" ht="15" hidden="false" customHeight="true" outlineLevel="0" collapsed="false">
      <c r="B5" s="35" t="s">
        <v>265</v>
      </c>
      <c r="C5" s="35" t="s">
        <v>266</v>
      </c>
      <c r="D5" s="35" t="s">
        <v>252</v>
      </c>
      <c r="E5" s="35" t="s">
        <v>267</v>
      </c>
      <c r="F5" s="35" t="s">
        <v>268</v>
      </c>
      <c r="G5" s="35" t="s">
        <v>269</v>
      </c>
    </row>
    <row r="6" customFormat="false" ht="15" hidden="false" customHeight="true" outlineLevel="0" collapsed="false">
      <c r="B6" s="35"/>
      <c r="C6" s="35"/>
      <c r="D6" s="35"/>
      <c r="E6" s="35"/>
      <c r="F6" s="35"/>
      <c r="G6" s="35"/>
    </row>
    <row r="7" customFormat="false" ht="15" hidden="false" customHeight="true" outlineLevel="0" collapsed="false">
      <c r="B7" s="35"/>
      <c r="C7" s="35"/>
      <c r="D7" s="35"/>
      <c r="E7" s="35"/>
      <c r="F7" s="35"/>
      <c r="G7" s="35"/>
    </row>
    <row r="8" customFormat="false" ht="15" hidden="false" customHeight="true" outlineLevel="0" collapsed="false">
      <c r="B8" s="35"/>
      <c r="C8" s="35"/>
      <c r="D8" s="35"/>
      <c r="E8" s="35"/>
      <c r="F8" s="35"/>
      <c r="G8" s="35"/>
    </row>
    <row r="9" customFormat="false" ht="15" hidden="false" customHeight="true" outlineLevel="0" collapsed="false">
      <c r="B9" s="35"/>
      <c r="C9" s="35"/>
      <c r="D9" s="35"/>
      <c r="E9" s="35"/>
      <c r="F9" s="35"/>
      <c r="G9" s="35"/>
    </row>
    <row r="10" customFormat="false" ht="15" hidden="false" customHeight="tru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tru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tru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tru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tru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tru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tru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tru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tru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tru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tru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tru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tru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tru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tru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tru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tru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tru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tru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2026-08-04T16:39:30Z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