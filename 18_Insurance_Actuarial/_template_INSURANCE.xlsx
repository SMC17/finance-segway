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Underwriting Ratios" sheetId="2" state="visible" r:id="rId4"/>
    <sheet name="Loss Reserve Triangle" sheetId="3" state="visible" r:id="rId5"/>
    <sheet name="Embedded Value" sheetId="4" state="visible" r:id="rId6"/>
    <sheet name="Reserve Summary" sheetId="5" state="visible" r:id="rId7"/>
    <sheet name="Profitability" sheetId="6" state="visible" r:id="rId8"/>
    <sheet name="Refresh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<sst xmlns="http://schemas.openxmlformats.org/spreadsheetml/2006/main" count="69" uniqueCount="67">
  <si>
    <t xml:space="preserve">[INSURER] — Insurance / Actuarial Model</t>
  </si>
  <si>
    <t xml:space="preserve">Line of business:</t>
  </si>
  <si>
    <t xml:space="preserve">P&amp;C / Life / Health / Reinsurance</t>
  </si>
  <si>
    <t xml:space="preserve">Last refreshed:</t>
  </si>
  <si>
    <t xml:space="preserve">[date]</t>
  </si>
  <si>
    <t xml:space="preserve">Refresh cadence:</t>
  </si>
  <si>
    <t xml:space="preserve">Weekly (quarterly for reserves)</t>
  </si>
  <si>
    <t xml:space="preserve">Underwriting Performance</t>
  </si>
  <si>
    <t xml:space="preserve">Earned premium ($)</t>
  </si>
  <si>
    <t xml:space="preserve">Incurred losses ($)</t>
  </si>
  <si>
    <t xml:space="preserve">Loss adjustment expenses ($)</t>
  </si>
  <si>
    <t xml:space="preserve">Underwriting expenses ($)</t>
  </si>
  <si>
    <t xml:space="preserve">Loss ratio</t>
  </si>
  <si>
    <t xml:space="preserve">Expense ratio</t>
  </si>
  <si>
    <t xml:space="preserve">Combined ratio</t>
  </si>
  <si>
    <t xml:space="preserve">&lt;100% = underwriting profit; &gt;100% = underwriting loss (offset by investment income)</t>
  </si>
  <si>
    <t xml:space="preserve">Loss Development Triangle — chain-ladder (cumulative paid losses, $)</t>
  </si>
  <si>
    <t xml:space="preserve">Accident Yr \ Dev Yr</t>
  </si>
  <si>
    <t xml:space="preserve">Dev 1</t>
  </si>
  <si>
    <t xml:space="preserve">Dev 2</t>
  </si>
  <si>
    <t xml:space="preserve">Dev 3</t>
  </si>
  <si>
    <t xml:space="preserve">Dev 4</t>
  </si>
  <si>
    <t xml:space="preserve">Dev 5</t>
  </si>
  <si>
    <t xml:space="preserve">Dev 6</t>
  </si>
  <si>
    <t xml:space="preserve">Ultimate Loss</t>
  </si>
  <si>
    <t xml:space="preserve">IBNR</t>
  </si>
  <si>
    <t xml:space="preserve">AY2020</t>
  </si>
  <si>
    <t xml:space="preserve">AY2021</t>
  </si>
  <si>
    <t xml:space="preserve">AY2022</t>
  </si>
  <si>
    <t xml:space="preserve">AY2023</t>
  </si>
  <si>
    <t xml:space="preserve">AY2024</t>
  </si>
  <si>
    <t xml:space="preserve">AY2025</t>
  </si>
  <si>
    <t xml:space="preserve">Age-to-age factor</t>
  </si>
  <si>
    <t xml:space="preserve">CDF to ultimate</t>
  </si>
  <si>
    <t xml:space="preserve">Total ultimate / IBNR</t>
  </si>
  <si>
    <t xml:space="preserve">Standard volume-weighted chain-ladder. Link factors use only accident years with data in both adjacent columns (upper-left triangle) — that's why each factor's denominator shrinks moving right.</t>
  </si>
  <si>
    <t xml:space="preserve">Embedded Value (life/health simplified)</t>
  </si>
  <si>
    <t xml:space="preserve">Adjusted net asset value (ANAV, $)</t>
  </si>
  <si>
    <t xml:space="preserve">PV of future profits on in-force business ($)</t>
  </si>
  <si>
    <t xml:space="preserve">Cost of holding required capital ($)</t>
  </si>
  <si>
    <t xml:space="preserve">Risk margin / cost of non-hedgeable risk ($)</t>
  </si>
  <si>
    <t xml:space="preserve">Embedded Value = ANAV + PVFP - CoC - Risk margin</t>
  </si>
  <si>
    <t xml:space="preserve">Value of new business (VNB) this period</t>
  </si>
  <si>
    <t xml:space="preserve">Reserve Adequacy</t>
  </si>
  <si>
    <t xml:space="preserve">Inputs</t>
  </si>
  <si>
    <t xml:space="preserve">Case reserves (carried, $)</t>
  </si>
  <si>
    <t xml:space="preserve">Total policyholder surplus / equity ($)</t>
  </si>
  <si>
    <t xml:space="preserve">Outputs</t>
  </si>
  <si>
    <t xml:space="preserve">IBNR (from Loss Reserve Triangle)</t>
  </si>
  <si>
    <t xml:space="preserve">Total reserves (case + IBNR)</t>
  </si>
  <si>
    <t xml:space="preserve">IBNR as % of total reserves</t>
  </si>
  <si>
    <t xml:space="preserve">A rising share signals either faster growth or slower-than-assumed reporting/settlement — worth a reserve review either way</t>
  </si>
  <si>
    <t xml:space="preserve">Reserves-to-surplus ratio</t>
  </si>
  <si>
    <t xml:space="preserve">NAIC rule of thumb: &gt;3.0x is a leverage warning sign for a P&amp;C carrier</t>
  </si>
  <si>
    <t xml:space="preserve">Total Profitability (underwriting + investment)</t>
  </si>
  <si>
    <t xml:space="preserve">Net investment income ($)</t>
  </si>
  <si>
    <t xml:space="preserve">Average policyholder surplus / equity ($)</t>
  </si>
  <si>
    <t xml:space="preserve">Underwriting result (earned premium x (1 - combined ratio))</t>
  </si>
  <si>
    <t xml:space="preserve">Total profit (underwriting result + net investment income)</t>
  </si>
  <si>
    <t xml:space="preserve">Return on equity (ROE)</t>
  </si>
  <si>
    <t xml:space="preserve">Why combined ratio alone can mislead: a carrier can run &gt;100% combined and still be profitable if investment income (float x yield) covers the gap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</si>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</sst>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;\(0.0%\);\-"/>
    <numFmt numFmtId="167" formatCode="0.000"/>
    <numFmt numFmtId="168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7</v>
      </c>
    </row>
    <row r="5" customFormat="false" ht="15" hidden="false" customHeight="false" outlineLevel="0" collapsed="false">
      <c r="B5" s="4" t="s">
        <v>8</v>
      </c>
      <c r="C5" s="5" t="n">
        <v>0</v>
      </c>
    </row>
    <row r="6" customFormat="false" ht="15" hidden="false" customHeight="false" outlineLevel="0" collapsed="false">
      <c r="B6" s="4" t="s">
        <v>9</v>
      </c>
      <c r="C6" s="5" t="n">
        <v>0</v>
      </c>
    </row>
    <row r="7" customFormat="false" ht="15" hidden="false" customHeight="false" outlineLevel="0" collapsed="false">
      <c r="B7" s="4" t="s">
        <v>10</v>
      </c>
      <c r="C7" s="5" t="n">
        <v>0</v>
      </c>
    </row>
    <row r="8" customFormat="false" ht="15" hidden="false" customHeight="false" outlineLevel="0" collapsed="false">
      <c r="B8" s="4" t="s">
        <v>11</v>
      </c>
      <c r="C8" s="5" t="n">
        <v>0</v>
      </c>
    </row>
    <row r="10" customFormat="false" ht="15" hidden="false" customHeight="false" outlineLevel="0" collapsed="false">
      <c r="B10" s="0" t="s">
        <v>12</v>
      </c>
      <c r="C10" s="6" t="str">
        <f aca="false">IFERROR((C6+C7)/C5,"-")</f>
        <v>-</v>
      </c>
    </row>
    <row r="11" customFormat="false" ht="15" hidden="false" customHeight="false" outlineLevel="0" collapsed="false">
      <c r="B11" s="0" t="s">
        <v>13</v>
      </c>
      <c r="C11" s="6" t="str">
        <f aca="false">IFERROR(C8/C5,"-")</f>
        <v>-</v>
      </c>
    </row>
    <row r="12" customFormat="false" ht="15" hidden="false" customHeight="false" outlineLevel="0" collapsed="false">
      <c r="B12" s="0" t="s">
        <v>14</v>
      </c>
      <c r="C12" s="7" t="str">
        <f aca="false">IFERROR(C10+C11,"-")</f>
        <v>-</v>
      </c>
      <c r="D12" s="8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8" min="3" style="0" width="12"/>
    <col collapsed="false" customWidth="true" hidden="false" outlineLevel="0" max="10" min="9" style="0" width="14"/>
  </cols>
  <sheetData>
    <row r="2" customFormat="false" ht="19.7" hidden="false" customHeight="false" outlineLevel="0" collapsed="false">
      <c r="B2" s="1" t="s">
        <v>16</v>
      </c>
    </row>
    <row r="4" customFormat="false" ht="15" hidden="false" customHeight="false" outlineLevel="0" collapsed="false">
      <c r="B4" s="9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23</v>
      </c>
      <c r="I4" s="10" t="s">
        <v>24</v>
      </c>
      <c r="J4" s="10" t="s">
        <v>25</v>
      </c>
    </row>
    <row r="5" customFormat="false" ht="15" hidden="false" customHeight="false" outlineLevel="0" collapsed="false">
      <c r="B5" s="9" t="s">
        <v>26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11" t="n">
        <f aca="false">IFERROR(H5*H15,"-")</f>
        <v>0</v>
      </c>
      <c r="J5" s="11" t="n">
        <f aca="false">IFERROR(I5-H5,"-")</f>
        <v>0</v>
      </c>
    </row>
    <row r="6" customFormat="false" ht="15" hidden="false" customHeight="false" outlineLevel="0" collapsed="false">
      <c r="B6" s="9" t="s">
        <v>27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I6" s="11" t="str">
        <f aca="false">IFERROR(G6*G15,"-")</f>
        <v>-</v>
      </c>
      <c r="J6" s="11" t="str">
        <f aca="false">IFERROR(I6-G6,"-")</f>
        <v>-</v>
      </c>
    </row>
    <row r="7" customFormat="false" ht="15" hidden="false" customHeight="false" outlineLevel="0" collapsed="false">
      <c r="B7" s="9" t="s">
        <v>28</v>
      </c>
      <c r="C7" s="5" t="n">
        <v>0</v>
      </c>
      <c r="D7" s="5" t="n">
        <v>0</v>
      </c>
      <c r="E7" s="5" t="n">
        <v>0</v>
      </c>
      <c r="F7" s="5" t="n">
        <v>0</v>
      </c>
      <c r="I7" s="11" t="str">
        <f aca="false">IFERROR(F7*F15,"-")</f>
        <v>-</v>
      </c>
      <c r="J7" s="11" t="str">
        <f aca="false">IFERROR(I7-F7,"-")</f>
        <v>-</v>
      </c>
    </row>
    <row r="8" customFormat="false" ht="15" hidden="false" customHeight="false" outlineLevel="0" collapsed="false">
      <c r="B8" s="9" t="s">
        <v>29</v>
      </c>
      <c r="C8" s="5" t="n">
        <v>0</v>
      </c>
      <c r="D8" s="5" t="n">
        <v>0</v>
      </c>
      <c r="E8" s="5" t="n">
        <v>0</v>
      </c>
      <c r="I8" s="11" t="str">
        <f aca="false">IFERROR(E8*E15,"-")</f>
        <v>-</v>
      </c>
      <c r="J8" s="11" t="str">
        <f aca="false">IFERROR(I8-E8,"-")</f>
        <v>-</v>
      </c>
    </row>
    <row r="9" customFormat="false" ht="15" hidden="false" customHeight="false" outlineLevel="0" collapsed="false">
      <c r="B9" s="9" t="s">
        <v>30</v>
      </c>
      <c r="C9" s="5" t="n">
        <v>0</v>
      </c>
      <c r="D9" s="5" t="n">
        <v>0</v>
      </c>
      <c r="I9" s="11" t="str">
        <f aca="false">IFERROR(D9*D15,"-")</f>
        <v>-</v>
      </c>
      <c r="J9" s="11" t="str">
        <f aca="false">IFERROR(I9-D9,"-")</f>
        <v>-</v>
      </c>
    </row>
    <row r="10" customFormat="false" ht="15" hidden="false" customHeight="false" outlineLevel="0" collapsed="false">
      <c r="B10" s="9" t="s">
        <v>31</v>
      </c>
      <c r="C10" s="5" t="n">
        <v>0</v>
      </c>
      <c r="I10" s="11" t="str">
        <f aca="false">IFERROR(C10*C15,"-")</f>
        <v>-</v>
      </c>
      <c r="J10" s="11" t="str">
        <f aca="false">IFERROR(I10-C10,"-")</f>
        <v>-</v>
      </c>
    </row>
    <row r="14" customFormat="false" ht="15" hidden="false" customHeight="false" outlineLevel="0" collapsed="false">
      <c r="B14" s="2" t="s">
        <v>32</v>
      </c>
      <c r="D14" s="12" t="str">
        <f aca="false">IFERROR(SUM(D5:D9)/SUM(C5:C9),"-")</f>
        <v>-</v>
      </c>
      <c r="E14" s="12" t="str">
        <f aca="false">IFERROR(SUM(E5:E8)/SUM(D5:D8),"-")</f>
        <v>-</v>
      </c>
      <c r="F14" s="12" t="str">
        <f aca="false">IFERROR(SUM(F5:F7)/SUM(E5:E7),"-")</f>
        <v>-</v>
      </c>
      <c r="G14" s="12" t="str">
        <f aca="false">IFERROR(SUM(G5:G6)/SUM(F5:F6),"-")</f>
        <v>-</v>
      </c>
      <c r="H14" s="12" t="str">
        <f aca="false">IFERROR(SUM(H5:H5)/SUM(G5:G5),"-")</f>
        <v>-</v>
      </c>
    </row>
    <row r="15" customFormat="false" ht="15" hidden="false" customHeight="false" outlineLevel="0" collapsed="false">
      <c r="B15" s="2" t="s">
        <v>33</v>
      </c>
      <c r="C15" s="12" t="str">
        <f aca="false">IFERROR(D14*D15,"-")</f>
        <v>-</v>
      </c>
      <c r="D15" s="12" t="str">
        <f aca="false">IFERROR(E14*E15,"-")</f>
        <v>-</v>
      </c>
      <c r="E15" s="12" t="str">
        <f aca="false">IFERROR(F14*F15,"-")</f>
        <v>-</v>
      </c>
      <c r="F15" s="12" t="str">
        <f aca="false">IFERROR(G14*G15,"-")</f>
        <v>-</v>
      </c>
      <c r="G15" s="12" t="str">
        <f aca="false">IFERROR(H14*H15,"-")</f>
        <v>-</v>
      </c>
      <c r="H15" s="12" t="n">
        <v>1</v>
      </c>
    </row>
    <row r="17" customFormat="false" ht="15" hidden="false" customHeight="false" outlineLevel="0" collapsed="false">
      <c r="B17" s="2" t="s">
        <v>34</v>
      </c>
      <c r="I17" s="13" t="n">
        <f aca="false">SUM(I5:I10)</f>
        <v>0</v>
      </c>
      <c r="J17" s="13" t="n">
        <f aca="false">SUM(J5:J10)</f>
        <v>0</v>
      </c>
    </row>
    <row r="18" customFormat="false" ht="15" hidden="false" customHeight="false" outlineLevel="0" collapsed="false">
      <c r="B18" s="8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36</v>
      </c>
    </row>
    <row r="5" customFormat="false" ht="15" hidden="false" customHeight="false" outlineLevel="0" collapsed="false">
      <c r="B5" s="4" t="s">
        <v>37</v>
      </c>
      <c r="C5" s="5" t="n">
        <v>0</v>
      </c>
    </row>
    <row r="6" customFormat="false" ht="15" hidden="false" customHeight="false" outlineLevel="0" collapsed="false">
      <c r="B6" s="4" t="s">
        <v>38</v>
      </c>
      <c r="C6" s="5" t="n">
        <v>0</v>
      </c>
    </row>
    <row r="7" customFormat="false" ht="15" hidden="false" customHeight="false" outlineLevel="0" collapsed="false">
      <c r="B7" s="4" t="s">
        <v>39</v>
      </c>
      <c r="C7" s="5" t="n">
        <v>0</v>
      </c>
    </row>
    <row r="8" customFormat="false" ht="15" hidden="false" customHeight="false" outlineLevel="0" collapsed="false">
      <c r="B8" s="4" t="s">
        <v>40</v>
      </c>
      <c r="C8" s="5" t="n">
        <v>0</v>
      </c>
    </row>
    <row r="10" customFormat="false" ht="15" hidden="false" customHeight="false" outlineLevel="0" collapsed="false">
      <c r="B10" s="0" t="s">
        <v>41</v>
      </c>
      <c r="C10" s="13" t="n">
        <f aca="false">C5+C6-C7-C8</f>
        <v>0</v>
      </c>
    </row>
    <row r="12" customFormat="false" ht="15" hidden="false" customHeight="false" outlineLevel="0" collapsed="false">
      <c r="B12" s="0" t="s">
        <v>42</v>
      </c>
      <c r="C12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43</v>
      </c>
    </row>
    <row r="4" customFormat="false" ht="15" hidden="false" customHeight="false" outlineLevel="0" collapsed="false">
      <c r="B4" s="9" t="s">
        <v>44</v>
      </c>
    </row>
    <row r="5" customFormat="false" ht="15" hidden="false" customHeight="false" outlineLevel="0" collapsed="false">
      <c r="B5" s="4" t="s">
        <v>45</v>
      </c>
      <c r="C5" s="5" t="n">
        <v>0</v>
      </c>
    </row>
    <row r="6" customFormat="false" ht="15" hidden="false" customHeight="false" outlineLevel="0" collapsed="false">
      <c r="B6" s="4" t="s">
        <v>46</v>
      </c>
      <c r="C6" s="5" t="n">
        <v>0</v>
      </c>
    </row>
    <row r="9" customFormat="false" ht="15" hidden="false" customHeight="false" outlineLevel="0" collapsed="false">
      <c r="B9" s="9" t="s">
        <v>47</v>
      </c>
    </row>
    <row r="10" customFormat="false" ht="15" hidden="false" customHeight="false" outlineLevel="0" collapsed="false">
      <c r="B10" s="0" t="s">
        <v>48</v>
      </c>
      <c r="C10" s="14" t="n">
        <f aca="false">'Loss Reserve Triangle'!J17</f>
        <v>0</v>
      </c>
    </row>
    <row r="11" customFormat="false" ht="15" hidden="false" customHeight="false" outlineLevel="0" collapsed="false">
      <c r="B11" s="0" t="s">
        <v>49</v>
      </c>
      <c r="C11" s="13" t="n">
        <f aca="false">IFERROR(C5+C10,"-")</f>
        <v>0</v>
      </c>
    </row>
    <row r="12" customFormat="false" ht="15" hidden="false" customHeight="false" outlineLevel="0" collapsed="false">
      <c r="B12" s="0" t="s">
        <v>50</v>
      </c>
      <c r="C12" s="6" t="str">
        <f aca="false">IFERROR(C10/C11,"-")</f>
        <v>-</v>
      </c>
      <c r="D12" s="8" t="s">
        <v>51</v>
      </c>
    </row>
    <row r="13" customFormat="false" ht="15" hidden="false" customHeight="false" outlineLevel="0" collapsed="false">
      <c r="B13" s="0" t="s">
        <v>52</v>
      </c>
      <c r="C13" s="15" t="str">
        <f aca="false">IFERROR(C11/C6,"-")</f>
        <v>-</v>
      </c>
      <c r="D13" s="8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54</v>
      </c>
    </row>
    <row r="4" customFormat="false" ht="15" hidden="false" customHeight="false" outlineLevel="0" collapsed="false">
      <c r="B4" s="9" t="s">
        <v>44</v>
      </c>
    </row>
    <row r="5" customFormat="false" ht="15" hidden="false" customHeight="false" outlineLevel="0" collapsed="false">
      <c r="B5" s="4" t="s">
        <v>55</v>
      </c>
      <c r="C5" s="5" t="n">
        <v>0</v>
      </c>
    </row>
    <row r="6" customFormat="false" ht="15" hidden="false" customHeight="false" outlineLevel="0" collapsed="false">
      <c r="B6" s="4" t="s">
        <v>56</v>
      </c>
      <c r="C6" s="5" t="n">
        <v>0</v>
      </c>
    </row>
    <row r="9" customFormat="false" ht="15" hidden="false" customHeight="false" outlineLevel="0" collapsed="false">
      <c r="B9" s="9" t="s">
        <v>47</v>
      </c>
    </row>
    <row r="10" customFormat="false" ht="15" hidden="false" customHeight="false" outlineLevel="0" collapsed="false">
      <c r="B10" s="0" t="s">
        <v>57</v>
      </c>
      <c r="C10" s="14" t="str">
        <f aca="false">IFERROR('Underwriting Ratios'!C5*(1-'Underwriting Ratios'!C12),"-")</f>
        <v>-</v>
      </c>
    </row>
    <row r="11" customFormat="false" ht="15" hidden="false" customHeight="false" outlineLevel="0" collapsed="false">
      <c r="B11" s="0" t="s">
        <v>58</v>
      </c>
      <c r="C11" s="13" t="str">
        <f aca="false">IFERROR(C10+C5,"-")</f>
        <v>-</v>
      </c>
    </row>
    <row r="12" customFormat="false" ht="15" hidden="false" customHeight="false" outlineLevel="0" collapsed="false">
      <c r="B12" s="0" t="s">
        <v>59</v>
      </c>
      <c r="C12" s="7" t="str">
        <f aca="false">IFERROR(C11/C6,"-")</f>
        <v>-</v>
      </c>
      <c r="D12" s="8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61</v>
      </c>
    </row>
    <row r="4" customFormat="false" ht="15" hidden="false" customHeight="false" outlineLevel="0" collapsed="false">
      <c r="B4" s="10" t="s">
        <v>62</v>
      </c>
      <c r="C4" s="10" t="s">
        <v>63</v>
      </c>
      <c r="D4" s="10" t="s">
        <v>64</v>
      </c>
      <c r="E4" s="10" t="s">
        <v>65</v>
      </c>
      <c r="F4" s="10" t="s">
        <v>66</v>
      </c>
    </row>
    <row r="5" customFormat="false" ht="15" hidden="false" customHeight="false" outlineLevel="0" collapsed="false">
      <c r="B5" s="16"/>
      <c r="C5" s="16"/>
      <c r="D5" s="16"/>
      <c r="E5" s="16"/>
      <c r="F5" s="16"/>
    </row>
    <row r="6" customFormat="false" ht="15" hidden="false" customHeight="false" outlineLevel="0" collapsed="false">
      <c r="B6" s="16"/>
      <c r="C6" s="16"/>
      <c r="D6" s="16"/>
      <c r="E6" s="16"/>
      <c r="F6" s="16"/>
    </row>
    <row r="7" customFormat="false" ht="15" hidden="false" customHeight="false" outlineLevel="0" collapsed="false">
      <c r="B7" s="16"/>
      <c r="C7" s="16"/>
      <c r="D7" s="16"/>
      <c r="E7" s="16"/>
      <c r="F7" s="16"/>
    </row>
    <row r="8" customFormat="false" ht="15" hidden="false" customHeight="false" outlineLevel="0" collapsed="false">
      <c r="B8" s="16"/>
      <c r="C8" s="16"/>
      <c r="D8" s="16"/>
      <c r="E8" s="16"/>
      <c r="F8" s="16"/>
    </row>
    <row r="9" customFormat="false" ht="15" hidden="false" customHeight="false" outlineLevel="0" collapsed="false">
      <c r="B9" s="16"/>
      <c r="C9" s="16"/>
      <c r="D9" s="16"/>
      <c r="E9" s="16"/>
      <c r="F9" s="16"/>
    </row>
    <row r="10" customFormat="false" ht="15" hidden="false" customHeight="false" outlineLevel="0" collapsed="false">
      <c r="B10" s="16"/>
      <c r="C10" s="16"/>
      <c r="D10" s="16"/>
      <c r="E10" s="16"/>
      <c r="F10" s="16"/>
    </row>
    <row r="11" customFormat="false" ht="15" hidden="false" customHeight="false" outlineLevel="0" collapsed="false">
      <c r="B11" s="16"/>
      <c r="C11" s="16"/>
      <c r="D11" s="16"/>
      <c r="E11" s="16"/>
      <c r="F11" s="16"/>
    </row>
    <row r="12" customFormat="false" ht="15" hidden="false" customHeight="false" outlineLevel="0" collapsed="false">
      <c r="B12" s="16"/>
      <c r="C12" s="16"/>
      <c r="D12" s="16"/>
      <c r="E12" s="16"/>
      <c r="F12" s="16"/>
    </row>
    <row r="13" customFormat="false" ht="15" hidden="false" customHeight="false" outlineLevel="0" collapsed="false">
      <c r="B13" s="16"/>
      <c r="C13" s="16"/>
      <c r="D13" s="16"/>
      <c r="E13" s="16"/>
      <c r="F13" s="16"/>
    </row>
    <row r="14" customFormat="false" ht="15" hidden="false" customHeight="false" outlineLevel="0" collapsed="false">
      <c r="B14" s="16"/>
      <c r="C14" s="16"/>
      <c r="D14" s="16"/>
      <c r="E14" s="16"/>
      <c r="F14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2026-08-03T22:45:54Z</dcterms:created>
  <dc:creator>openpyxl</dc:creator>
  <dc:description/>
  <dc:language>en-US</dc:language>
  <cp:lastModifiedBy/>
  <dcterms:modified xsi:type="dcterms:W3CDTF">2026-08-03T22:45:54Z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